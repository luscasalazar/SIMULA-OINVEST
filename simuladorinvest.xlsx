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FII" sheetId="1" state="visible" r:id="rId1"/>
    <sheet xmlns:r="http://schemas.openxmlformats.org/officeDocument/2006/relationships" name="Perf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0" fontId="0" fillId="0" borderId="0" pivotButton="0" quotePrefix="0" xfId="0"/>
    <xf numFmtId="0" fontId="3" fillId="5" borderId="1" applyAlignment="1" pivotButton="0" quotePrefix="0" xfId="0">
      <alignment vertical="center"/>
    </xf>
    <xf numFmtId="1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 Patrimônio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 FII'!D23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 FII'!$A$24:$A$383</f>
            </numRef>
          </cat>
          <val>
            <numRef>
              <f>'Simulador FII'!$D$24:$D$383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8" customWidth="1" min="4" max="4"/>
    <col width="20" customWidth="1" min="5" max="5"/>
    <col width="20" customWidth="1" min="6" max="6"/>
    <col width="16" customWidth="1" min="7" max="7"/>
    <col width="20" customWidth="1" min="8" max="8"/>
  </cols>
  <sheetData>
    <row r="1">
      <c r="A1" s="1" t="inlineStr">
        <is>
          <t>SIMULADOR DE INVESTIMENTOS EM FUNDOS IMOBILIÁRIOS</t>
        </is>
      </c>
    </row>
    <row r="2"/>
    <row r="3">
      <c r="A3" s="2" t="inlineStr">
        <is>
          <t>DADOS DA SIMULAÇÃO</t>
        </is>
      </c>
      <c r="D3" s="2" t="inlineStr">
        <is>
          <t>RESULTADOS</t>
        </is>
      </c>
    </row>
    <row r="4">
      <c r="A4" s="3" t="inlineStr">
        <is>
          <t>Salário mensal</t>
        </is>
      </c>
      <c r="B4" s="4" t="n">
        <v>5000</v>
      </c>
      <c r="D4" s="3" t="inlineStr">
        <is>
          <t>Total investido</t>
        </is>
      </c>
      <c r="E4" s="5">
        <f>B7+(B6*B8*12)</f>
        <v/>
      </c>
    </row>
    <row r="5">
      <c r="A5" s="3" t="inlineStr">
        <is>
          <t>Percentual sugerido para investir</t>
        </is>
      </c>
      <c r="B5" s="6" t="n">
        <v>0.3</v>
      </c>
      <c r="D5" s="3" t="inlineStr">
        <is>
          <t>Patrimônio acumulado</t>
        </is>
      </c>
      <c r="E5" s="5">
        <f>FV(B9,B8*12,-B6,-B7,0)</f>
        <v/>
      </c>
    </row>
    <row r="6">
      <c r="A6" s="3" t="inlineStr">
        <is>
          <t>Aporte mensal</t>
        </is>
      </c>
      <c r="B6" s="4">
        <f>B4*B5</f>
        <v/>
      </c>
      <c r="D6" s="3" t="inlineStr">
        <is>
          <t>Rendimento mensal estimado</t>
        </is>
      </c>
      <c r="E6" s="5">
        <f>E5*B9</f>
        <v/>
      </c>
    </row>
    <row r="7">
      <c r="A7" s="3" t="inlineStr">
        <is>
          <t>Investimento inicial</t>
        </is>
      </c>
      <c r="B7" s="4" t="n">
        <v>1000</v>
      </c>
      <c r="D7" s="3" t="inlineStr">
        <is>
          <t>Dividendos estimados por mês</t>
        </is>
      </c>
      <c r="E7" s="5">
        <f>E6</f>
        <v/>
      </c>
    </row>
    <row r="8">
      <c r="A8" s="3" t="inlineStr">
        <is>
          <t>Prazo (anos)</t>
        </is>
      </c>
      <c r="B8" s="7" t="n">
        <v>10</v>
      </c>
      <c r="D8" s="3" t="inlineStr">
        <is>
          <t>Lucro estimado</t>
        </is>
      </c>
      <c r="E8" s="5">
        <f>E5-E4</f>
        <v/>
      </c>
    </row>
    <row r="9">
      <c r="A9" s="3" t="inlineStr">
        <is>
          <t>Taxa de rendimento mensal</t>
        </is>
      </c>
      <c r="B9" s="6" t="n">
        <v>0.008</v>
      </c>
    </row>
    <row r="10">
      <c r="A10" s="3" t="inlineStr">
        <is>
          <t>Perfil do investidor</t>
        </is>
      </c>
      <c r="B10" s="7" t="inlineStr">
        <is>
          <t>Moderado</t>
        </is>
      </c>
    </row>
    <row r="11"/>
    <row r="12">
      <c r="A12" s="2" t="inlineStr">
        <is>
          <t>CENÁRIOS DE INVESTIMENTO</t>
        </is>
      </c>
      <c r="F12" s="2" t="inlineStr">
        <is>
          <t>DISTRIBUIÇÃO POR PERFIL</t>
        </is>
      </c>
    </row>
    <row r="13">
      <c r="A13" s="8" t="inlineStr">
        <is>
          <t>Prazo</t>
        </is>
      </c>
      <c r="B13" s="8" t="inlineStr">
        <is>
          <t>Total Investido</t>
        </is>
      </c>
      <c r="C13" s="8" t="inlineStr">
        <is>
          <t>Patrimônio Acumulado</t>
        </is>
      </c>
      <c r="D13" s="8" t="inlineStr">
        <is>
          <t>Dividendos Mensais Estimados</t>
        </is>
      </c>
      <c r="F13" s="8" t="inlineStr">
        <is>
          <t>Tipo de FII</t>
        </is>
      </c>
      <c r="G13" s="8" t="inlineStr">
        <is>
          <t>%</t>
        </is>
      </c>
      <c r="H13" s="8" t="inlineStr">
        <is>
          <t>Valor Mensal</t>
        </is>
      </c>
    </row>
    <row r="14">
      <c r="A14" s="9" t="n">
        <v>2</v>
      </c>
      <c r="B14" s="10">
        <f>$B$7+($B$6*A14*12)</f>
        <v/>
      </c>
      <c r="C14" s="10">
        <f>FV($B$9,A14*12,-$B$6,-$B$7,0)</f>
        <v/>
      </c>
      <c r="D14" s="10">
        <f>C14*$B$9</f>
        <v/>
      </c>
      <c r="F14" s="9">
        <f>Perfis!A4</f>
        <v/>
      </c>
      <c r="G14" s="11">
        <f>INDEX(Perfis!$B$4:$D$9,MATCH(F14,Perfis!$A$4:$A$9,0),MATCH($B$10,Perfis!$B$3:$D$3,0))</f>
        <v/>
      </c>
      <c r="H14" s="10">
        <f>$B$6*G14</f>
        <v/>
      </c>
    </row>
    <row r="15">
      <c r="A15" s="9" t="n">
        <v>5</v>
      </c>
      <c r="B15" s="10">
        <f>$B$7+($B$6*A15*12)</f>
        <v/>
      </c>
      <c r="C15" s="10">
        <f>FV($B$9,A15*12,-$B$6,-$B$7,0)</f>
        <v/>
      </c>
      <c r="D15" s="10">
        <f>C15*$B$9</f>
        <v/>
      </c>
      <c r="F15" s="9">
        <f>Perfis!A5</f>
        <v/>
      </c>
      <c r="G15" s="11">
        <f>INDEX(Perfis!$B$4:$D$9,MATCH(F15,Perfis!$A$4:$A$9,0),MATCH($B$10,Perfis!$B$3:$D$3,0))</f>
        <v/>
      </c>
      <c r="H15" s="10">
        <f>$B$6*G15</f>
        <v/>
      </c>
    </row>
    <row r="16">
      <c r="A16" s="9" t="n">
        <v>10</v>
      </c>
      <c r="B16" s="10">
        <f>$B$7+($B$6*A16*12)</f>
        <v/>
      </c>
      <c r="C16" s="10">
        <f>FV($B$9,A16*12,-$B$6,-$B$7,0)</f>
        <v/>
      </c>
      <c r="D16" s="10">
        <f>C16*$B$9</f>
        <v/>
      </c>
      <c r="F16" s="9">
        <f>Perfis!A6</f>
        <v/>
      </c>
      <c r="G16" s="11">
        <f>INDEX(Perfis!$B$4:$D$9,MATCH(F16,Perfis!$A$4:$A$9,0),MATCH($B$10,Perfis!$B$3:$D$3,0))</f>
        <v/>
      </c>
      <c r="H16" s="10">
        <f>$B$6*G16</f>
        <v/>
      </c>
    </row>
    <row r="17">
      <c r="A17" s="9" t="n">
        <v>20</v>
      </c>
      <c r="B17" s="10">
        <f>$B$7+($B$6*A17*12)</f>
        <v/>
      </c>
      <c r="C17" s="10">
        <f>FV($B$9,A17*12,-$B$6,-$B$7,0)</f>
        <v/>
      </c>
      <c r="D17" s="10">
        <f>C17*$B$9</f>
        <v/>
      </c>
      <c r="F17" s="9">
        <f>Perfis!A7</f>
        <v/>
      </c>
      <c r="G17" s="11">
        <f>INDEX(Perfis!$B$4:$D$9,MATCH(F17,Perfis!$A$4:$A$9,0),MATCH($B$10,Perfis!$B$3:$D$3,0))</f>
        <v/>
      </c>
      <c r="H17" s="10">
        <f>$B$6*G17</f>
        <v/>
      </c>
    </row>
    <row r="18">
      <c r="A18" s="9" t="n">
        <v>30</v>
      </c>
      <c r="B18" s="10">
        <f>$B$7+($B$6*A18*12)</f>
        <v/>
      </c>
      <c r="C18" s="10">
        <f>FV($B$9,A18*12,-$B$6,-$B$7,0)</f>
        <v/>
      </c>
      <c r="D18" s="10">
        <f>C18*$B$9</f>
        <v/>
      </c>
      <c r="F18" s="9">
        <f>Perfis!A8</f>
        <v/>
      </c>
      <c r="G18" s="11">
        <f>INDEX(Perfis!$B$4:$D$9,MATCH(F18,Perfis!$A$4:$A$9,0),MATCH($B$10,Perfis!$B$3:$D$3,0))</f>
        <v/>
      </c>
      <c r="H18" s="10">
        <f>$B$6*G18</f>
        <v/>
      </c>
    </row>
    <row r="19">
      <c r="F19" s="9">
        <f>Perfis!A9</f>
        <v/>
      </c>
      <c r="G19" s="9">
        <f>INDEX(Perfis!$B$4:$D$9,MATCH(F19,Perfis!$A$4:$A$9,0),MATCH($B$10,Perfis!$B$3:$D$3,0))</f>
        <v/>
      </c>
      <c r="H19" s="9">
        <f>$B$6*G19</f>
        <v/>
      </c>
    </row>
    <row r="20"/>
    <row r="21"/>
    <row r="22">
      <c r="A22" s="2" t="inlineStr">
        <is>
          <t>EVOLUÇÃO MENSAL DA SIMULAÇÃO</t>
        </is>
      </c>
    </row>
    <row r="23">
      <c r="A23" s="8" t="inlineStr">
        <is>
          <t>Mês</t>
        </is>
      </c>
      <c r="B23" s="8" t="inlineStr">
        <is>
          <t>Aporte Mensal</t>
        </is>
      </c>
      <c r="C23" s="8" t="inlineStr">
        <is>
          <t>Total Investido</t>
        </is>
      </c>
      <c r="D23" s="8" t="inlineStr">
        <is>
          <t>Patrimônio Acumulado</t>
        </is>
      </c>
      <c r="E23" s="8" t="inlineStr">
        <is>
          <t>Rendimento do Mês</t>
        </is>
      </c>
      <c r="F23" s="8" t="inlineStr">
        <is>
          <t>Dividendos Estimados</t>
        </is>
      </c>
    </row>
    <row r="24">
      <c r="A24" s="9" t="n">
        <v>1</v>
      </c>
      <c r="B24" s="10">
        <f>IF(A24&lt;=$B$8*12,$B$6,"")</f>
        <v/>
      </c>
      <c r="C24" s="10">
        <f>IF(A24&lt;=$B$8*12,$B$7+B24,"")</f>
        <v/>
      </c>
      <c r="D24" s="10">
        <f>IF(A24&lt;=$B$8*12,($B$7+B24)*(1+$B$9),"")</f>
        <v/>
      </c>
      <c r="E24" s="10">
        <f>IF(A24&lt;=$B$8*12,D24-$B$6-IFERROR(D23,$B$7),"")</f>
        <v/>
      </c>
      <c r="F24" s="10">
        <f>IF(A24&lt;=$B$8*12,D24*$B$9,"")</f>
        <v/>
      </c>
    </row>
    <row r="25">
      <c r="A25" s="9" t="n">
        <v>2</v>
      </c>
      <c r="B25" s="10">
        <f>IF(A25&lt;=$B$8*12,$B$6,"")</f>
        <v/>
      </c>
      <c r="C25" s="10">
        <f>IF(A25&lt;=$B$8*12,C24+B25,"")</f>
        <v/>
      </c>
      <c r="D25" s="10">
        <f>IF(A25&lt;=$B$8*12,(D24+B25)*(1+$B$9),"")</f>
        <v/>
      </c>
      <c r="E25" s="10">
        <f>IF(A25&lt;=$B$8*12,D25-$B$6-IFERROR(D24,$B$7),"")</f>
        <v/>
      </c>
      <c r="F25" s="10">
        <f>IF(A25&lt;=$B$8*12,D25*$B$9,"")</f>
        <v/>
      </c>
    </row>
    <row r="26">
      <c r="A26" s="9" t="n">
        <v>3</v>
      </c>
      <c r="B26" s="10">
        <f>IF(A26&lt;=$B$8*12,$B$6,"")</f>
        <v/>
      </c>
      <c r="C26" s="10">
        <f>IF(A26&lt;=$B$8*12,C25+B26,"")</f>
        <v/>
      </c>
      <c r="D26" s="10">
        <f>IF(A26&lt;=$B$8*12,(D25+B26)*(1+$B$9),"")</f>
        <v/>
      </c>
      <c r="E26" s="10">
        <f>IF(A26&lt;=$B$8*12,D26-$B$6-IFERROR(D25,$B$7),"")</f>
        <v/>
      </c>
      <c r="F26" s="10">
        <f>IF(A26&lt;=$B$8*12,D26*$B$9,"")</f>
        <v/>
      </c>
    </row>
    <row r="27">
      <c r="A27" s="9" t="n">
        <v>4</v>
      </c>
      <c r="B27" s="10">
        <f>IF(A27&lt;=$B$8*12,$B$6,"")</f>
        <v/>
      </c>
      <c r="C27" s="10">
        <f>IF(A27&lt;=$B$8*12,C26+B27,"")</f>
        <v/>
      </c>
      <c r="D27" s="10">
        <f>IF(A27&lt;=$B$8*12,(D26+B27)*(1+$B$9),"")</f>
        <v/>
      </c>
      <c r="E27" s="10">
        <f>IF(A27&lt;=$B$8*12,D27-$B$6-IFERROR(D26,$B$7),"")</f>
        <v/>
      </c>
      <c r="F27" s="10">
        <f>IF(A27&lt;=$B$8*12,D27*$B$9,"")</f>
        <v/>
      </c>
    </row>
    <row r="28">
      <c r="A28" s="9" t="n">
        <v>5</v>
      </c>
      <c r="B28" s="10">
        <f>IF(A28&lt;=$B$8*12,$B$6,"")</f>
        <v/>
      </c>
      <c r="C28" s="10">
        <f>IF(A28&lt;=$B$8*12,C27+B28,"")</f>
        <v/>
      </c>
      <c r="D28" s="10">
        <f>IF(A28&lt;=$B$8*12,(D27+B28)*(1+$B$9),"")</f>
        <v/>
      </c>
      <c r="E28" s="10">
        <f>IF(A28&lt;=$B$8*12,D28-$B$6-IFERROR(D27,$B$7),"")</f>
        <v/>
      </c>
      <c r="F28" s="10">
        <f>IF(A28&lt;=$B$8*12,D28*$B$9,"")</f>
        <v/>
      </c>
    </row>
    <row r="29">
      <c r="A29" s="9" t="n">
        <v>6</v>
      </c>
      <c r="B29" s="10">
        <f>IF(A29&lt;=$B$8*12,$B$6,"")</f>
        <v/>
      </c>
      <c r="C29" s="10">
        <f>IF(A29&lt;=$B$8*12,C28+B29,"")</f>
        <v/>
      </c>
      <c r="D29" s="10">
        <f>IF(A29&lt;=$B$8*12,(D28+B29)*(1+$B$9),"")</f>
        <v/>
      </c>
      <c r="E29" s="10">
        <f>IF(A29&lt;=$B$8*12,D29-$B$6-IFERROR(D28,$B$7),"")</f>
        <v/>
      </c>
      <c r="F29" s="10">
        <f>IF(A29&lt;=$B$8*12,D29*$B$9,"")</f>
        <v/>
      </c>
    </row>
    <row r="30">
      <c r="A30" s="9" t="n">
        <v>7</v>
      </c>
      <c r="B30" s="10">
        <f>IF(A30&lt;=$B$8*12,$B$6,"")</f>
        <v/>
      </c>
      <c r="C30" s="10">
        <f>IF(A30&lt;=$B$8*12,C29+B30,"")</f>
        <v/>
      </c>
      <c r="D30" s="10">
        <f>IF(A30&lt;=$B$8*12,(D29+B30)*(1+$B$9),"")</f>
        <v/>
      </c>
      <c r="E30" s="10">
        <f>IF(A30&lt;=$B$8*12,D30-$B$6-IFERROR(D29,$B$7),"")</f>
        <v/>
      </c>
      <c r="F30" s="10">
        <f>IF(A30&lt;=$B$8*12,D30*$B$9,"")</f>
        <v/>
      </c>
    </row>
    <row r="31">
      <c r="A31" s="9" t="n">
        <v>8</v>
      </c>
      <c r="B31" s="10">
        <f>IF(A31&lt;=$B$8*12,$B$6,"")</f>
        <v/>
      </c>
      <c r="C31" s="10">
        <f>IF(A31&lt;=$B$8*12,C30+B31,"")</f>
        <v/>
      </c>
      <c r="D31" s="10">
        <f>IF(A31&lt;=$B$8*12,(D30+B31)*(1+$B$9),"")</f>
        <v/>
      </c>
      <c r="E31" s="10">
        <f>IF(A31&lt;=$B$8*12,D31-$B$6-IFERROR(D30,$B$7),"")</f>
        <v/>
      </c>
      <c r="F31" s="10">
        <f>IF(A31&lt;=$B$8*12,D31*$B$9,"")</f>
        <v/>
      </c>
    </row>
    <row r="32">
      <c r="A32" s="9" t="n">
        <v>9</v>
      </c>
      <c r="B32" s="10">
        <f>IF(A32&lt;=$B$8*12,$B$6,"")</f>
        <v/>
      </c>
      <c r="C32" s="10">
        <f>IF(A32&lt;=$B$8*12,C31+B32,"")</f>
        <v/>
      </c>
      <c r="D32" s="10">
        <f>IF(A32&lt;=$B$8*12,(D31+B32)*(1+$B$9),"")</f>
        <v/>
      </c>
      <c r="E32" s="10">
        <f>IF(A32&lt;=$B$8*12,D32-$B$6-IFERROR(D31,$B$7),"")</f>
        <v/>
      </c>
      <c r="F32" s="10">
        <f>IF(A32&lt;=$B$8*12,D32*$B$9,"")</f>
        <v/>
      </c>
    </row>
    <row r="33">
      <c r="A33" s="9" t="n">
        <v>10</v>
      </c>
      <c r="B33" s="10">
        <f>IF(A33&lt;=$B$8*12,$B$6,"")</f>
        <v/>
      </c>
      <c r="C33" s="10">
        <f>IF(A33&lt;=$B$8*12,C32+B33,"")</f>
        <v/>
      </c>
      <c r="D33" s="10">
        <f>IF(A33&lt;=$B$8*12,(D32+B33)*(1+$B$9),"")</f>
        <v/>
      </c>
      <c r="E33" s="10">
        <f>IF(A33&lt;=$B$8*12,D33-$B$6-IFERROR(D32,$B$7),"")</f>
        <v/>
      </c>
      <c r="F33" s="10">
        <f>IF(A33&lt;=$B$8*12,D33*$B$9,"")</f>
        <v/>
      </c>
    </row>
    <row r="34">
      <c r="A34" s="9" t="n">
        <v>11</v>
      </c>
      <c r="B34" s="10">
        <f>IF(A34&lt;=$B$8*12,$B$6,"")</f>
        <v/>
      </c>
      <c r="C34" s="10">
        <f>IF(A34&lt;=$B$8*12,C33+B34,"")</f>
        <v/>
      </c>
      <c r="D34" s="10">
        <f>IF(A34&lt;=$B$8*12,(D33+B34)*(1+$B$9),"")</f>
        <v/>
      </c>
      <c r="E34" s="10">
        <f>IF(A34&lt;=$B$8*12,D34-$B$6-IFERROR(D33,$B$7),"")</f>
        <v/>
      </c>
      <c r="F34" s="10">
        <f>IF(A34&lt;=$B$8*12,D34*$B$9,"")</f>
        <v/>
      </c>
    </row>
    <row r="35">
      <c r="A35" s="9" t="n">
        <v>12</v>
      </c>
      <c r="B35" s="10">
        <f>IF(A35&lt;=$B$8*12,$B$6,"")</f>
        <v/>
      </c>
      <c r="C35" s="10">
        <f>IF(A35&lt;=$B$8*12,C34+B35,"")</f>
        <v/>
      </c>
      <c r="D35" s="10">
        <f>IF(A35&lt;=$B$8*12,(D34+B35)*(1+$B$9),"")</f>
        <v/>
      </c>
      <c r="E35" s="10">
        <f>IF(A35&lt;=$B$8*12,D35-$B$6-IFERROR(D34,$B$7),"")</f>
        <v/>
      </c>
      <c r="F35" s="10">
        <f>IF(A35&lt;=$B$8*12,D35*$B$9,"")</f>
        <v/>
      </c>
    </row>
    <row r="36">
      <c r="A36" s="9" t="n">
        <v>13</v>
      </c>
      <c r="B36" s="10">
        <f>IF(A36&lt;=$B$8*12,$B$6,"")</f>
        <v/>
      </c>
      <c r="C36" s="10">
        <f>IF(A36&lt;=$B$8*12,C35+B36,"")</f>
        <v/>
      </c>
      <c r="D36" s="10">
        <f>IF(A36&lt;=$B$8*12,(D35+B36)*(1+$B$9),"")</f>
        <v/>
      </c>
      <c r="E36" s="10">
        <f>IF(A36&lt;=$B$8*12,D36-$B$6-IFERROR(D35,$B$7),"")</f>
        <v/>
      </c>
      <c r="F36" s="10">
        <f>IF(A36&lt;=$B$8*12,D36*$B$9,"")</f>
        <v/>
      </c>
    </row>
    <row r="37">
      <c r="A37" s="9" t="n">
        <v>14</v>
      </c>
      <c r="B37" s="10">
        <f>IF(A37&lt;=$B$8*12,$B$6,"")</f>
        <v/>
      </c>
      <c r="C37" s="10">
        <f>IF(A37&lt;=$B$8*12,C36+B37,"")</f>
        <v/>
      </c>
      <c r="D37" s="10">
        <f>IF(A37&lt;=$B$8*12,(D36+B37)*(1+$B$9),"")</f>
        <v/>
      </c>
      <c r="E37" s="10">
        <f>IF(A37&lt;=$B$8*12,D37-$B$6-IFERROR(D36,$B$7),"")</f>
        <v/>
      </c>
      <c r="F37" s="10">
        <f>IF(A37&lt;=$B$8*12,D37*$B$9,"")</f>
        <v/>
      </c>
    </row>
    <row r="38">
      <c r="A38" s="9" t="n">
        <v>15</v>
      </c>
      <c r="B38" s="10">
        <f>IF(A38&lt;=$B$8*12,$B$6,"")</f>
        <v/>
      </c>
      <c r="C38" s="10">
        <f>IF(A38&lt;=$B$8*12,C37+B38,"")</f>
        <v/>
      </c>
      <c r="D38" s="10">
        <f>IF(A38&lt;=$B$8*12,(D37+B38)*(1+$B$9),"")</f>
        <v/>
      </c>
      <c r="E38" s="10">
        <f>IF(A38&lt;=$B$8*12,D38-$B$6-IFERROR(D37,$B$7),"")</f>
        <v/>
      </c>
      <c r="F38" s="10">
        <f>IF(A38&lt;=$B$8*12,D38*$B$9,"")</f>
        <v/>
      </c>
    </row>
    <row r="39">
      <c r="A39" s="9" t="n">
        <v>16</v>
      </c>
      <c r="B39" s="10">
        <f>IF(A39&lt;=$B$8*12,$B$6,"")</f>
        <v/>
      </c>
      <c r="C39" s="10">
        <f>IF(A39&lt;=$B$8*12,C38+B39,"")</f>
        <v/>
      </c>
      <c r="D39" s="10">
        <f>IF(A39&lt;=$B$8*12,(D38+B39)*(1+$B$9),"")</f>
        <v/>
      </c>
      <c r="E39" s="10">
        <f>IF(A39&lt;=$B$8*12,D39-$B$6-IFERROR(D38,$B$7),"")</f>
        <v/>
      </c>
      <c r="F39" s="10">
        <f>IF(A39&lt;=$B$8*12,D39*$B$9,"")</f>
        <v/>
      </c>
    </row>
    <row r="40">
      <c r="A40" s="9" t="n">
        <v>17</v>
      </c>
      <c r="B40" s="10">
        <f>IF(A40&lt;=$B$8*12,$B$6,"")</f>
        <v/>
      </c>
      <c r="C40" s="10">
        <f>IF(A40&lt;=$B$8*12,C39+B40,"")</f>
        <v/>
      </c>
      <c r="D40" s="10">
        <f>IF(A40&lt;=$B$8*12,(D39+B40)*(1+$B$9),"")</f>
        <v/>
      </c>
      <c r="E40" s="10">
        <f>IF(A40&lt;=$B$8*12,D40-$B$6-IFERROR(D39,$B$7),"")</f>
        <v/>
      </c>
      <c r="F40" s="10">
        <f>IF(A40&lt;=$B$8*12,D40*$B$9,"")</f>
        <v/>
      </c>
    </row>
    <row r="41">
      <c r="A41" s="9" t="n">
        <v>18</v>
      </c>
      <c r="B41" s="10">
        <f>IF(A41&lt;=$B$8*12,$B$6,"")</f>
        <v/>
      </c>
      <c r="C41" s="10">
        <f>IF(A41&lt;=$B$8*12,C40+B41,"")</f>
        <v/>
      </c>
      <c r="D41" s="10">
        <f>IF(A41&lt;=$B$8*12,(D40+B41)*(1+$B$9),"")</f>
        <v/>
      </c>
      <c r="E41" s="10">
        <f>IF(A41&lt;=$B$8*12,D41-$B$6-IFERROR(D40,$B$7),"")</f>
        <v/>
      </c>
      <c r="F41" s="10">
        <f>IF(A41&lt;=$B$8*12,D41*$B$9,"")</f>
        <v/>
      </c>
    </row>
    <row r="42">
      <c r="A42" s="9" t="n">
        <v>19</v>
      </c>
      <c r="B42" s="10">
        <f>IF(A42&lt;=$B$8*12,$B$6,"")</f>
        <v/>
      </c>
      <c r="C42" s="10">
        <f>IF(A42&lt;=$B$8*12,C41+B42,"")</f>
        <v/>
      </c>
      <c r="D42" s="10">
        <f>IF(A42&lt;=$B$8*12,(D41+B42)*(1+$B$9),"")</f>
        <v/>
      </c>
      <c r="E42" s="10">
        <f>IF(A42&lt;=$B$8*12,D42-$B$6-IFERROR(D41,$B$7),"")</f>
        <v/>
      </c>
      <c r="F42" s="10">
        <f>IF(A42&lt;=$B$8*12,D42*$B$9,"")</f>
        <v/>
      </c>
    </row>
    <row r="43">
      <c r="A43" s="9" t="n">
        <v>20</v>
      </c>
      <c r="B43" s="10">
        <f>IF(A43&lt;=$B$8*12,$B$6,"")</f>
        <v/>
      </c>
      <c r="C43" s="10">
        <f>IF(A43&lt;=$B$8*12,C42+B43,"")</f>
        <v/>
      </c>
      <c r="D43" s="10">
        <f>IF(A43&lt;=$B$8*12,(D42+B43)*(1+$B$9),"")</f>
        <v/>
      </c>
      <c r="E43" s="10">
        <f>IF(A43&lt;=$B$8*12,D43-$B$6-IFERROR(D42,$B$7),"")</f>
        <v/>
      </c>
      <c r="F43" s="10">
        <f>IF(A43&lt;=$B$8*12,D43*$B$9,"")</f>
        <v/>
      </c>
    </row>
    <row r="44">
      <c r="A44" s="9" t="n">
        <v>21</v>
      </c>
      <c r="B44" s="10">
        <f>IF(A44&lt;=$B$8*12,$B$6,"")</f>
        <v/>
      </c>
      <c r="C44" s="10">
        <f>IF(A44&lt;=$B$8*12,C43+B44,"")</f>
        <v/>
      </c>
      <c r="D44" s="10">
        <f>IF(A44&lt;=$B$8*12,(D43+B44)*(1+$B$9),"")</f>
        <v/>
      </c>
      <c r="E44" s="10">
        <f>IF(A44&lt;=$B$8*12,D44-$B$6-IFERROR(D43,$B$7),"")</f>
        <v/>
      </c>
      <c r="F44" s="10">
        <f>IF(A44&lt;=$B$8*12,D44*$B$9,"")</f>
        <v/>
      </c>
    </row>
    <row r="45">
      <c r="A45" s="9" t="n">
        <v>22</v>
      </c>
      <c r="B45" s="10">
        <f>IF(A45&lt;=$B$8*12,$B$6,"")</f>
        <v/>
      </c>
      <c r="C45" s="10">
        <f>IF(A45&lt;=$B$8*12,C44+B45,"")</f>
        <v/>
      </c>
      <c r="D45" s="10">
        <f>IF(A45&lt;=$B$8*12,(D44+B45)*(1+$B$9),"")</f>
        <v/>
      </c>
      <c r="E45" s="10">
        <f>IF(A45&lt;=$B$8*12,D45-$B$6-IFERROR(D44,$B$7),"")</f>
        <v/>
      </c>
      <c r="F45" s="10">
        <f>IF(A45&lt;=$B$8*12,D45*$B$9,"")</f>
        <v/>
      </c>
    </row>
    <row r="46">
      <c r="A46" s="9" t="n">
        <v>23</v>
      </c>
      <c r="B46" s="10">
        <f>IF(A46&lt;=$B$8*12,$B$6,"")</f>
        <v/>
      </c>
      <c r="C46" s="10">
        <f>IF(A46&lt;=$B$8*12,C45+B46,"")</f>
        <v/>
      </c>
      <c r="D46" s="10">
        <f>IF(A46&lt;=$B$8*12,(D45+B46)*(1+$B$9),"")</f>
        <v/>
      </c>
      <c r="E46" s="10">
        <f>IF(A46&lt;=$B$8*12,D46-$B$6-IFERROR(D45,$B$7),"")</f>
        <v/>
      </c>
      <c r="F46" s="10">
        <f>IF(A46&lt;=$B$8*12,D46*$B$9,"")</f>
        <v/>
      </c>
    </row>
    <row r="47">
      <c r="A47" s="9" t="n">
        <v>24</v>
      </c>
      <c r="B47" s="10">
        <f>IF(A47&lt;=$B$8*12,$B$6,"")</f>
        <v/>
      </c>
      <c r="C47" s="10">
        <f>IF(A47&lt;=$B$8*12,C46+B47,"")</f>
        <v/>
      </c>
      <c r="D47" s="10">
        <f>IF(A47&lt;=$B$8*12,(D46+B47)*(1+$B$9),"")</f>
        <v/>
      </c>
      <c r="E47" s="10">
        <f>IF(A47&lt;=$B$8*12,D47-$B$6-IFERROR(D46,$B$7),"")</f>
        <v/>
      </c>
      <c r="F47" s="10">
        <f>IF(A47&lt;=$B$8*12,D47*$B$9,"")</f>
        <v/>
      </c>
    </row>
    <row r="48">
      <c r="A48" s="9" t="n">
        <v>25</v>
      </c>
      <c r="B48" s="10">
        <f>IF(A48&lt;=$B$8*12,$B$6,"")</f>
        <v/>
      </c>
      <c r="C48" s="10">
        <f>IF(A48&lt;=$B$8*12,C47+B48,"")</f>
        <v/>
      </c>
      <c r="D48" s="10">
        <f>IF(A48&lt;=$B$8*12,(D47+B48)*(1+$B$9),"")</f>
        <v/>
      </c>
      <c r="E48" s="10">
        <f>IF(A48&lt;=$B$8*12,D48-$B$6-IFERROR(D47,$B$7),"")</f>
        <v/>
      </c>
      <c r="F48" s="10">
        <f>IF(A48&lt;=$B$8*12,D48*$B$9,"")</f>
        <v/>
      </c>
    </row>
    <row r="49">
      <c r="A49" s="9" t="n">
        <v>26</v>
      </c>
      <c r="B49" s="10">
        <f>IF(A49&lt;=$B$8*12,$B$6,"")</f>
        <v/>
      </c>
      <c r="C49" s="10">
        <f>IF(A49&lt;=$B$8*12,C48+B49,"")</f>
        <v/>
      </c>
      <c r="D49" s="10">
        <f>IF(A49&lt;=$B$8*12,(D48+B49)*(1+$B$9),"")</f>
        <v/>
      </c>
      <c r="E49" s="10">
        <f>IF(A49&lt;=$B$8*12,D49-$B$6-IFERROR(D48,$B$7),"")</f>
        <v/>
      </c>
      <c r="F49" s="10">
        <f>IF(A49&lt;=$B$8*12,D49*$B$9,"")</f>
        <v/>
      </c>
    </row>
    <row r="50">
      <c r="A50" s="9" t="n">
        <v>27</v>
      </c>
      <c r="B50" s="10">
        <f>IF(A50&lt;=$B$8*12,$B$6,"")</f>
        <v/>
      </c>
      <c r="C50" s="10">
        <f>IF(A50&lt;=$B$8*12,C49+B50,"")</f>
        <v/>
      </c>
      <c r="D50" s="10">
        <f>IF(A50&lt;=$B$8*12,(D49+B50)*(1+$B$9),"")</f>
        <v/>
      </c>
      <c r="E50" s="10">
        <f>IF(A50&lt;=$B$8*12,D50-$B$6-IFERROR(D49,$B$7),"")</f>
        <v/>
      </c>
      <c r="F50" s="10">
        <f>IF(A50&lt;=$B$8*12,D50*$B$9,"")</f>
        <v/>
      </c>
    </row>
    <row r="51">
      <c r="A51" s="9" t="n">
        <v>28</v>
      </c>
      <c r="B51" s="10">
        <f>IF(A51&lt;=$B$8*12,$B$6,"")</f>
        <v/>
      </c>
      <c r="C51" s="10">
        <f>IF(A51&lt;=$B$8*12,C50+B51,"")</f>
        <v/>
      </c>
      <c r="D51" s="10">
        <f>IF(A51&lt;=$B$8*12,(D50+B51)*(1+$B$9),"")</f>
        <v/>
      </c>
      <c r="E51" s="10">
        <f>IF(A51&lt;=$B$8*12,D51-$B$6-IFERROR(D50,$B$7),"")</f>
        <v/>
      </c>
      <c r="F51" s="10">
        <f>IF(A51&lt;=$B$8*12,D51*$B$9,"")</f>
        <v/>
      </c>
    </row>
    <row r="52">
      <c r="A52" s="9" t="n">
        <v>29</v>
      </c>
      <c r="B52" s="10">
        <f>IF(A52&lt;=$B$8*12,$B$6,"")</f>
        <v/>
      </c>
      <c r="C52" s="10">
        <f>IF(A52&lt;=$B$8*12,C51+B52,"")</f>
        <v/>
      </c>
      <c r="D52" s="10">
        <f>IF(A52&lt;=$B$8*12,(D51+B52)*(1+$B$9),"")</f>
        <v/>
      </c>
      <c r="E52" s="10">
        <f>IF(A52&lt;=$B$8*12,D52-$B$6-IFERROR(D51,$B$7),"")</f>
        <v/>
      </c>
      <c r="F52" s="10">
        <f>IF(A52&lt;=$B$8*12,D52*$B$9,"")</f>
        <v/>
      </c>
    </row>
    <row r="53">
      <c r="A53" s="9" t="n">
        <v>30</v>
      </c>
      <c r="B53" s="10">
        <f>IF(A53&lt;=$B$8*12,$B$6,"")</f>
        <v/>
      </c>
      <c r="C53" s="10">
        <f>IF(A53&lt;=$B$8*12,C52+B53,"")</f>
        <v/>
      </c>
      <c r="D53" s="10">
        <f>IF(A53&lt;=$B$8*12,(D52+B53)*(1+$B$9),"")</f>
        <v/>
      </c>
      <c r="E53" s="10">
        <f>IF(A53&lt;=$B$8*12,D53-$B$6-IFERROR(D52,$B$7),"")</f>
        <v/>
      </c>
      <c r="F53" s="10">
        <f>IF(A53&lt;=$B$8*12,D53*$B$9,"")</f>
        <v/>
      </c>
    </row>
    <row r="54">
      <c r="A54" s="9" t="n">
        <v>31</v>
      </c>
      <c r="B54" s="10">
        <f>IF(A54&lt;=$B$8*12,$B$6,"")</f>
        <v/>
      </c>
      <c r="C54" s="10">
        <f>IF(A54&lt;=$B$8*12,C53+B54,"")</f>
        <v/>
      </c>
      <c r="D54" s="10">
        <f>IF(A54&lt;=$B$8*12,(D53+B54)*(1+$B$9),"")</f>
        <v/>
      </c>
      <c r="E54" s="10">
        <f>IF(A54&lt;=$B$8*12,D54-$B$6-IFERROR(D53,$B$7),"")</f>
        <v/>
      </c>
      <c r="F54" s="10">
        <f>IF(A54&lt;=$B$8*12,D54*$B$9,"")</f>
        <v/>
      </c>
    </row>
    <row r="55">
      <c r="A55" s="9" t="n">
        <v>32</v>
      </c>
      <c r="B55" s="10">
        <f>IF(A55&lt;=$B$8*12,$B$6,"")</f>
        <v/>
      </c>
      <c r="C55" s="10">
        <f>IF(A55&lt;=$B$8*12,C54+B55,"")</f>
        <v/>
      </c>
      <c r="D55" s="10">
        <f>IF(A55&lt;=$B$8*12,(D54+B55)*(1+$B$9),"")</f>
        <v/>
      </c>
      <c r="E55" s="10">
        <f>IF(A55&lt;=$B$8*12,D55-$B$6-IFERROR(D54,$B$7),"")</f>
        <v/>
      </c>
      <c r="F55" s="10">
        <f>IF(A55&lt;=$B$8*12,D55*$B$9,"")</f>
        <v/>
      </c>
    </row>
    <row r="56">
      <c r="A56" s="9" t="n">
        <v>33</v>
      </c>
      <c r="B56" s="10">
        <f>IF(A56&lt;=$B$8*12,$B$6,"")</f>
        <v/>
      </c>
      <c r="C56" s="10">
        <f>IF(A56&lt;=$B$8*12,C55+B56,"")</f>
        <v/>
      </c>
      <c r="D56" s="10">
        <f>IF(A56&lt;=$B$8*12,(D55+B56)*(1+$B$9),"")</f>
        <v/>
      </c>
      <c r="E56" s="10">
        <f>IF(A56&lt;=$B$8*12,D56-$B$6-IFERROR(D55,$B$7),"")</f>
        <v/>
      </c>
      <c r="F56" s="10">
        <f>IF(A56&lt;=$B$8*12,D56*$B$9,"")</f>
        <v/>
      </c>
    </row>
    <row r="57">
      <c r="A57" s="9" t="n">
        <v>34</v>
      </c>
      <c r="B57" s="10">
        <f>IF(A57&lt;=$B$8*12,$B$6,"")</f>
        <v/>
      </c>
      <c r="C57" s="10">
        <f>IF(A57&lt;=$B$8*12,C56+B57,"")</f>
        <v/>
      </c>
      <c r="D57" s="10">
        <f>IF(A57&lt;=$B$8*12,(D56+B57)*(1+$B$9),"")</f>
        <v/>
      </c>
      <c r="E57" s="10">
        <f>IF(A57&lt;=$B$8*12,D57-$B$6-IFERROR(D56,$B$7),"")</f>
        <v/>
      </c>
      <c r="F57" s="10">
        <f>IF(A57&lt;=$B$8*12,D57*$B$9,"")</f>
        <v/>
      </c>
    </row>
    <row r="58">
      <c r="A58" s="9" t="n">
        <v>35</v>
      </c>
      <c r="B58" s="10">
        <f>IF(A58&lt;=$B$8*12,$B$6,"")</f>
        <v/>
      </c>
      <c r="C58" s="10">
        <f>IF(A58&lt;=$B$8*12,C57+B58,"")</f>
        <v/>
      </c>
      <c r="D58" s="10">
        <f>IF(A58&lt;=$B$8*12,(D57+B58)*(1+$B$9),"")</f>
        <v/>
      </c>
      <c r="E58" s="10">
        <f>IF(A58&lt;=$B$8*12,D58-$B$6-IFERROR(D57,$B$7),"")</f>
        <v/>
      </c>
      <c r="F58" s="10">
        <f>IF(A58&lt;=$B$8*12,D58*$B$9,"")</f>
        <v/>
      </c>
    </row>
    <row r="59">
      <c r="A59" s="9" t="n">
        <v>36</v>
      </c>
      <c r="B59" s="10">
        <f>IF(A59&lt;=$B$8*12,$B$6,"")</f>
        <v/>
      </c>
      <c r="C59" s="10">
        <f>IF(A59&lt;=$B$8*12,C58+B59,"")</f>
        <v/>
      </c>
      <c r="D59" s="10">
        <f>IF(A59&lt;=$B$8*12,(D58+B59)*(1+$B$9),"")</f>
        <v/>
      </c>
      <c r="E59" s="10">
        <f>IF(A59&lt;=$B$8*12,D59-$B$6-IFERROR(D58,$B$7),"")</f>
        <v/>
      </c>
      <c r="F59" s="10">
        <f>IF(A59&lt;=$B$8*12,D59*$B$9,"")</f>
        <v/>
      </c>
    </row>
    <row r="60">
      <c r="A60" s="9" t="n">
        <v>37</v>
      </c>
      <c r="B60" s="10">
        <f>IF(A60&lt;=$B$8*12,$B$6,"")</f>
        <v/>
      </c>
      <c r="C60" s="10">
        <f>IF(A60&lt;=$B$8*12,C59+B60,"")</f>
        <v/>
      </c>
      <c r="D60" s="10">
        <f>IF(A60&lt;=$B$8*12,(D59+B60)*(1+$B$9),"")</f>
        <v/>
      </c>
      <c r="E60" s="10">
        <f>IF(A60&lt;=$B$8*12,D60-$B$6-IFERROR(D59,$B$7),"")</f>
        <v/>
      </c>
      <c r="F60" s="10">
        <f>IF(A60&lt;=$B$8*12,D60*$B$9,"")</f>
        <v/>
      </c>
    </row>
    <row r="61">
      <c r="A61" s="9" t="n">
        <v>38</v>
      </c>
      <c r="B61" s="10">
        <f>IF(A61&lt;=$B$8*12,$B$6,"")</f>
        <v/>
      </c>
      <c r="C61" s="10">
        <f>IF(A61&lt;=$B$8*12,C60+B61,"")</f>
        <v/>
      </c>
      <c r="D61" s="10">
        <f>IF(A61&lt;=$B$8*12,(D60+B61)*(1+$B$9),"")</f>
        <v/>
      </c>
      <c r="E61" s="10">
        <f>IF(A61&lt;=$B$8*12,D61-$B$6-IFERROR(D60,$B$7),"")</f>
        <v/>
      </c>
      <c r="F61" s="10">
        <f>IF(A61&lt;=$B$8*12,D61*$B$9,"")</f>
        <v/>
      </c>
    </row>
    <row r="62">
      <c r="A62" s="9" t="n">
        <v>39</v>
      </c>
      <c r="B62" s="10">
        <f>IF(A62&lt;=$B$8*12,$B$6,"")</f>
        <v/>
      </c>
      <c r="C62" s="10">
        <f>IF(A62&lt;=$B$8*12,C61+B62,"")</f>
        <v/>
      </c>
      <c r="D62" s="10">
        <f>IF(A62&lt;=$B$8*12,(D61+B62)*(1+$B$9),"")</f>
        <v/>
      </c>
      <c r="E62" s="10">
        <f>IF(A62&lt;=$B$8*12,D62-$B$6-IFERROR(D61,$B$7),"")</f>
        <v/>
      </c>
      <c r="F62" s="10">
        <f>IF(A62&lt;=$B$8*12,D62*$B$9,"")</f>
        <v/>
      </c>
    </row>
    <row r="63">
      <c r="A63" s="9" t="n">
        <v>40</v>
      </c>
      <c r="B63" s="10">
        <f>IF(A63&lt;=$B$8*12,$B$6,"")</f>
        <v/>
      </c>
      <c r="C63" s="10">
        <f>IF(A63&lt;=$B$8*12,C62+B63,"")</f>
        <v/>
      </c>
      <c r="D63" s="10">
        <f>IF(A63&lt;=$B$8*12,(D62+B63)*(1+$B$9),"")</f>
        <v/>
      </c>
      <c r="E63" s="10">
        <f>IF(A63&lt;=$B$8*12,D63-$B$6-IFERROR(D62,$B$7),"")</f>
        <v/>
      </c>
      <c r="F63" s="10">
        <f>IF(A63&lt;=$B$8*12,D63*$B$9,"")</f>
        <v/>
      </c>
    </row>
    <row r="64">
      <c r="A64" s="9" t="n">
        <v>41</v>
      </c>
      <c r="B64" s="10">
        <f>IF(A64&lt;=$B$8*12,$B$6,"")</f>
        <v/>
      </c>
      <c r="C64" s="10">
        <f>IF(A64&lt;=$B$8*12,C63+B64,"")</f>
        <v/>
      </c>
      <c r="D64" s="10">
        <f>IF(A64&lt;=$B$8*12,(D63+B64)*(1+$B$9),"")</f>
        <v/>
      </c>
      <c r="E64" s="10">
        <f>IF(A64&lt;=$B$8*12,D64-$B$6-IFERROR(D63,$B$7),"")</f>
        <v/>
      </c>
      <c r="F64" s="10">
        <f>IF(A64&lt;=$B$8*12,D64*$B$9,"")</f>
        <v/>
      </c>
    </row>
    <row r="65">
      <c r="A65" s="9" t="n">
        <v>42</v>
      </c>
      <c r="B65" s="10">
        <f>IF(A65&lt;=$B$8*12,$B$6,"")</f>
        <v/>
      </c>
      <c r="C65" s="10">
        <f>IF(A65&lt;=$B$8*12,C64+B65,"")</f>
        <v/>
      </c>
      <c r="D65" s="10">
        <f>IF(A65&lt;=$B$8*12,(D64+B65)*(1+$B$9),"")</f>
        <v/>
      </c>
      <c r="E65" s="10">
        <f>IF(A65&lt;=$B$8*12,D65-$B$6-IFERROR(D64,$B$7),"")</f>
        <v/>
      </c>
      <c r="F65" s="10">
        <f>IF(A65&lt;=$B$8*12,D65*$B$9,"")</f>
        <v/>
      </c>
    </row>
    <row r="66">
      <c r="A66" s="9" t="n">
        <v>43</v>
      </c>
      <c r="B66" s="10">
        <f>IF(A66&lt;=$B$8*12,$B$6,"")</f>
        <v/>
      </c>
      <c r="C66" s="10">
        <f>IF(A66&lt;=$B$8*12,C65+B66,"")</f>
        <v/>
      </c>
      <c r="D66" s="10">
        <f>IF(A66&lt;=$B$8*12,(D65+B66)*(1+$B$9),"")</f>
        <v/>
      </c>
      <c r="E66" s="10">
        <f>IF(A66&lt;=$B$8*12,D66-$B$6-IFERROR(D65,$B$7),"")</f>
        <v/>
      </c>
      <c r="F66" s="10">
        <f>IF(A66&lt;=$B$8*12,D66*$B$9,"")</f>
        <v/>
      </c>
    </row>
    <row r="67">
      <c r="A67" s="9" t="n">
        <v>44</v>
      </c>
      <c r="B67" s="10">
        <f>IF(A67&lt;=$B$8*12,$B$6,"")</f>
        <v/>
      </c>
      <c r="C67" s="10">
        <f>IF(A67&lt;=$B$8*12,C66+B67,"")</f>
        <v/>
      </c>
      <c r="D67" s="10">
        <f>IF(A67&lt;=$B$8*12,(D66+B67)*(1+$B$9),"")</f>
        <v/>
      </c>
      <c r="E67" s="10">
        <f>IF(A67&lt;=$B$8*12,D67-$B$6-IFERROR(D66,$B$7),"")</f>
        <v/>
      </c>
      <c r="F67" s="10">
        <f>IF(A67&lt;=$B$8*12,D67*$B$9,"")</f>
        <v/>
      </c>
    </row>
    <row r="68">
      <c r="A68" s="9" t="n">
        <v>45</v>
      </c>
      <c r="B68" s="10">
        <f>IF(A68&lt;=$B$8*12,$B$6,"")</f>
        <v/>
      </c>
      <c r="C68" s="10">
        <f>IF(A68&lt;=$B$8*12,C67+B68,"")</f>
        <v/>
      </c>
      <c r="D68" s="10">
        <f>IF(A68&lt;=$B$8*12,(D67+B68)*(1+$B$9),"")</f>
        <v/>
      </c>
      <c r="E68" s="10">
        <f>IF(A68&lt;=$B$8*12,D68-$B$6-IFERROR(D67,$B$7),"")</f>
        <v/>
      </c>
      <c r="F68" s="10">
        <f>IF(A68&lt;=$B$8*12,D68*$B$9,"")</f>
        <v/>
      </c>
    </row>
    <row r="69">
      <c r="A69" s="9" t="n">
        <v>46</v>
      </c>
      <c r="B69" s="10">
        <f>IF(A69&lt;=$B$8*12,$B$6,"")</f>
        <v/>
      </c>
      <c r="C69" s="10">
        <f>IF(A69&lt;=$B$8*12,C68+B69,"")</f>
        <v/>
      </c>
      <c r="D69" s="10">
        <f>IF(A69&lt;=$B$8*12,(D68+B69)*(1+$B$9),"")</f>
        <v/>
      </c>
      <c r="E69" s="10">
        <f>IF(A69&lt;=$B$8*12,D69-$B$6-IFERROR(D68,$B$7),"")</f>
        <v/>
      </c>
      <c r="F69" s="10">
        <f>IF(A69&lt;=$B$8*12,D69*$B$9,"")</f>
        <v/>
      </c>
    </row>
    <row r="70">
      <c r="A70" s="9" t="n">
        <v>47</v>
      </c>
      <c r="B70" s="10">
        <f>IF(A70&lt;=$B$8*12,$B$6,"")</f>
        <v/>
      </c>
      <c r="C70" s="10">
        <f>IF(A70&lt;=$B$8*12,C69+B70,"")</f>
        <v/>
      </c>
      <c r="D70" s="10">
        <f>IF(A70&lt;=$B$8*12,(D69+B70)*(1+$B$9),"")</f>
        <v/>
      </c>
      <c r="E70" s="10">
        <f>IF(A70&lt;=$B$8*12,D70-$B$6-IFERROR(D69,$B$7),"")</f>
        <v/>
      </c>
      <c r="F70" s="10">
        <f>IF(A70&lt;=$B$8*12,D70*$B$9,"")</f>
        <v/>
      </c>
    </row>
    <row r="71">
      <c r="A71" s="9" t="n">
        <v>48</v>
      </c>
      <c r="B71" s="10">
        <f>IF(A71&lt;=$B$8*12,$B$6,"")</f>
        <v/>
      </c>
      <c r="C71" s="10">
        <f>IF(A71&lt;=$B$8*12,C70+B71,"")</f>
        <v/>
      </c>
      <c r="D71" s="10">
        <f>IF(A71&lt;=$B$8*12,(D70+B71)*(1+$B$9),"")</f>
        <v/>
      </c>
      <c r="E71" s="10">
        <f>IF(A71&lt;=$B$8*12,D71-$B$6-IFERROR(D70,$B$7),"")</f>
        <v/>
      </c>
      <c r="F71" s="10">
        <f>IF(A71&lt;=$B$8*12,D71*$B$9,"")</f>
        <v/>
      </c>
    </row>
    <row r="72">
      <c r="A72" s="9" t="n">
        <v>49</v>
      </c>
      <c r="B72" s="10">
        <f>IF(A72&lt;=$B$8*12,$B$6,"")</f>
        <v/>
      </c>
      <c r="C72" s="10">
        <f>IF(A72&lt;=$B$8*12,C71+B72,"")</f>
        <v/>
      </c>
      <c r="D72" s="10">
        <f>IF(A72&lt;=$B$8*12,(D71+B72)*(1+$B$9),"")</f>
        <v/>
      </c>
      <c r="E72" s="10">
        <f>IF(A72&lt;=$B$8*12,D72-$B$6-IFERROR(D71,$B$7),"")</f>
        <v/>
      </c>
      <c r="F72" s="10">
        <f>IF(A72&lt;=$B$8*12,D72*$B$9,"")</f>
        <v/>
      </c>
    </row>
    <row r="73">
      <c r="A73" s="9" t="n">
        <v>50</v>
      </c>
      <c r="B73" s="10">
        <f>IF(A73&lt;=$B$8*12,$B$6,"")</f>
        <v/>
      </c>
      <c r="C73" s="10">
        <f>IF(A73&lt;=$B$8*12,C72+B73,"")</f>
        <v/>
      </c>
      <c r="D73" s="10">
        <f>IF(A73&lt;=$B$8*12,(D72+B73)*(1+$B$9),"")</f>
        <v/>
      </c>
      <c r="E73" s="10">
        <f>IF(A73&lt;=$B$8*12,D73-$B$6-IFERROR(D72,$B$7),"")</f>
        <v/>
      </c>
      <c r="F73" s="10">
        <f>IF(A73&lt;=$B$8*12,D73*$B$9,"")</f>
        <v/>
      </c>
    </row>
    <row r="74">
      <c r="A74" s="9" t="n">
        <v>51</v>
      </c>
      <c r="B74" s="10">
        <f>IF(A74&lt;=$B$8*12,$B$6,"")</f>
        <v/>
      </c>
      <c r="C74" s="10">
        <f>IF(A74&lt;=$B$8*12,C73+B74,"")</f>
        <v/>
      </c>
      <c r="D74" s="10">
        <f>IF(A74&lt;=$B$8*12,(D73+B74)*(1+$B$9),"")</f>
        <v/>
      </c>
      <c r="E74" s="10">
        <f>IF(A74&lt;=$B$8*12,D74-$B$6-IFERROR(D73,$B$7),"")</f>
        <v/>
      </c>
      <c r="F74" s="10">
        <f>IF(A74&lt;=$B$8*12,D74*$B$9,"")</f>
        <v/>
      </c>
    </row>
    <row r="75">
      <c r="A75" s="9" t="n">
        <v>52</v>
      </c>
      <c r="B75" s="10">
        <f>IF(A75&lt;=$B$8*12,$B$6,"")</f>
        <v/>
      </c>
      <c r="C75" s="10">
        <f>IF(A75&lt;=$B$8*12,C74+B75,"")</f>
        <v/>
      </c>
      <c r="D75" s="10">
        <f>IF(A75&lt;=$B$8*12,(D74+B75)*(1+$B$9),"")</f>
        <v/>
      </c>
      <c r="E75" s="10">
        <f>IF(A75&lt;=$B$8*12,D75-$B$6-IFERROR(D74,$B$7),"")</f>
        <v/>
      </c>
      <c r="F75" s="10">
        <f>IF(A75&lt;=$B$8*12,D75*$B$9,"")</f>
        <v/>
      </c>
    </row>
    <row r="76">
      <c r="A76" s="9" t="n">
        <v>53</v>
      </c>
      <c r="B76" s="10">
        <f>IF(A76&lt;=$B$8*12,$B$6,"")</f>
        <v/>
      </c>
      <c r="C76" s="10">
        <f>IF(A76&lt;=$B$8*12,C75+B76,"")</f>
        <v/>
      </c>
      <c r="D76" s="10">
        <f>IF(A76&lt;=$B$8*12,(D75+B76)*(1+$B$9),"")</f>
        <v/>
      </c>
      <c r="E76" s="10">
        <f>IF(A76&lt;=$B$8*12,D76-$B$6-IFERROR(D75,$B$7),"")</f>
        <v/>
      </c>
      <c r="F76" s="10">
        <f>IF(A76&lt;=$B$8*12,D76*$B$9,"")</f>
        <v/>
      </c>
    </row>
    <row r="77">
      <c r="A77" s="9" t="n">
        <v>54</v>
      </c>
      <c r="B77" s="10">
        <f>IF(A77&lt;=$B$8*12,$B$6,"")</f>
        <v/>
      </c>
      <c r="C77" s="10">
        <f>IF(A77&lt;=$B$8*12,C76+B77,"")</f>
        <v/>
      </c>
      <c r="D77" s="10">
        <f>IF(A77&lt;=$B$8*12,(D76+B77)*(1+$B$9),"")</f>
        <v/>
      </c>
      <c r="E77" s="10">
        <f>IF(A77&lt;=$B$8*12,D77-$B$6-IFERROR(D76,$B$7),"")</f>
        <v/>
      </c>
      <c r="F77" s="10">
        <f>IF(A77&lt;=$B$8*12,D77*$B$9,"")</f>
        <v/>
      </c>
    </row>
    <row r="78">
      <c r="A78" s="9" t="n">
        <v>55</v>
      </c>
      <c r="B78" s="10">
        <f>IF(A78&lt;=$B$8*12,$B$6,"")</f>
        <v/>
      </c>
      <c r="C78" s="10">
        <f>IF(A78&lt;=$B$8*12,C77+B78,"")</f>
        <v/>
      </c>
      <c r="D78" s="10">
        <f>IF(A78&lt;=$B$8*12,(D77+B78)*(1+$B$9),"")</f>
        <v/>
      </c>
      <c r="E78" s="10">
        <f>IF(A78&lt;=$B$8*12,D78-$B$6-IFERROR(D77,$B$7),"")</f>
        <v/>
      </c>
      <c r="F78" s="10">
        <f>IF(A78&lt;=$B$8*12,D78*$B$9,"")</f>
        <v/>
      </c>
    </row>
    <row r="79">
      <c r="A79" s="9" t="n">
        <v>56</v>
      </c>
      <c r="B79" s="10">
        <f>IF(A79&lt;=$B$8*12,$B$6,"")</f>
        <v/>
      </c>
      <c r="C79" s="10">
        <f>IF(A79&lt;=$B$8*12,C78+B79,"")</f>
        <v/>
      </c>
      <c r="D79" s="10">
        <f>IF(A79&lt;=$B$8*12,(D78+B79)*(1+$B$9),"")</f>
        <v/>
      </c>
      <c r="E79" s="10">
        <f>IF(A79&lt;=$B$8*12,D79-$B$6-IFERROR(D78,$B$7),"")</f>
        <v/>
      </c>
      <c r="F79" s="10">
        <f>IF(A79&lt;=$B$8*12,D79*$B$9,"")</f>
        <v/>
      </c>
    </row>
    <row r="80">
      <c r="A80" s="9" t="n">
        <v>57</v>
      </c>
      <c r="B80" s="10">
        <f>IF(A80&lt;=$B$8*12,$B$6,"")</f>
        <v/>
      </c>
      <c r="C80" s="10">
        <f>IF(A80&lt;=$B$8*12,C79+B80,"")</f>
        <v/>
      </c>
      <c r="D80" s="10">
        <f>IF(A80&lt;=$B$8*12,(D79+B80)*(1+$B$9),"")</f>
        <v/>
      </c>
      <c r="E80" s="10">
        <f>IF(A80&lt;=$B$8*12,D80-$B$6-IFERROR(D79,$B$7),"")</f>
        <v/>
      </c>
      <c r="F80" s="10">
        <f>IF(A80&lt;=$B$8*12,D80*$B$9,"")</f>
        <v/>
      </c>
    </row>
    <row r="81">
      <c r="A81" s="9" t="n">
        <v>58</v>
      </c>
      <c r="B81" s="10">
        <f>IF(A81&lt;=$B$8*12,$B$6,"")</f>
        <v/>
      </c>
      <c r="C81" s="10">
        <f>IF(A81&lt;=$B$8*12,C80+B81,"")</f>
        <v/>
      </c>
      <c r="D81" s="10">
        <f>IF(A81&lt;=$B$8*12,(D80+B81)*(1+$B$9),"")</f>
        <v/>
      </c>
      <c r="E81" s="10">
        <f>IF(A81&lt;=$B$8*12,D81-$B$6-IFERROR(D80,$B$7),"")</f>
        <v/>
      </c>
      <c r="F81" s="10">
        <f>IF(A81&lt;=$B$8*12,D81*$B$9,"")</f>
        <v/>
      </c>
    </row>
    <row r="82">
      <c r="A82" s="9" t="n">
        <v>59</v>
      </c>
      <c r="B82" s="10">
        <f>IF(A82&lt;=$B$8*12,$B$6,"")</f>
        <v/>
      </c>
      <c r="C82" s="10">
        <f>IF(A82&lt;=$B$8*12,C81+B82,"")</f>
        <v/>
      </c>
      <c r="D82" s="10">
        <f>IF(A82&lt;=$B$8*12,(D81+B82)*(1+$B$9),"")</f>
        <v/>
      </c>
      <c r="E82" s="10">
        <f>IF(A82&lt;=$B$8*12,D82-$B$6-IFERROR(D81,$B$7),"")</f>
        <v/>
      </c>
      <c r="F82" s="10">
        <f>IF(A82&lt;=$B$8*12,D82*$B$9,"")</f>
        <v/>
      </c>
    </row>
    <row r="83">
      <c r="A83" s="9" t="n">
        <v>60</v>
      </c>
      <c r="B83" s="10">
        <f>IF(A83&lt;=$B$8*12,$B$6,"")</f>
        <v/>
      </c>
      <c r="C83" s="10">
        <f>IF(A83&lt;=$B$8*12,C82+B83,"")</f>
        <v/>
      </c>
      <c r="D83" s="10">
        <f>IF(A83&lt;=$B$8*12,(D82+B83)*(1+$B$9),"")</f>
        <v/>
      </c>
      <c r="E83" s="10">
        <f>IF(A83&lt;=$B$8*12,D83-$B$6-IFERROR(D82,$B$7),"")</f>
        <v/>
      </c>
      <c r="F83" s="10">
        <f>IF(A83&lt;=$B$8*12,D83*$B$9,"")</f>
        <v/>
      </c>
    </row>
    <row r="84">
      <c r="A84" s="9" t="n">
        <v>61</v>
      </c>
      <c r="B84" s="10">
        <f>IF(A84&lt;=$B$8*12,$B$6,"")</f>
        <v/>
      </c>
      <c r="C84" s="10">
        <f>IF(A84&lt;=$B$8*12,C83+B84,"")</f>
        <v/>
      </c>
      <c r="D84" s="10">
        <f>IF(A84&lt;=$B$8*12,(D83+B84)*(1+$B$9),"")</f>
        <v/>
      </c>
      <c r="E84" s="10">
        <f>IF(A84&lt;=$B$8*12,D84-$B$6-IFERROR(D83,$B$7),"")</f>
        <v/>
      </c>
      <c r="F84" s="10">
        <f>IF(A84&lt;=$B$8*12,D84*$B$9,"")</f>
        <v/>
      </c>
    </row>
    <row r="85">
      <c r="A85" s="9" t="n">
        <v>62</v>
      </c>
      <c r="B85" s="10">
        <f>IF(A85&lt;=$B$8*12,$B$6,"")</f>
        <v/>
      </c>
      <c r="C85" s="10">
        <f>IF(A85&lt;=$B$8*12,C84+B85,"")</f>
        <v/>
      </c>
      <c r="D85" s="10">
        <f>IF(A85&lt;=$B$8*12,(D84+B85)*(1+$B$9),"")</f>
        <v/>
      </c>
      <c r="E85" s="10">
        <f>IF(A85&lt;=$B$8*12,D85-$B$6-IFERROR(D84,$B$7),"")</f>
        <v/>
      </c>
      <c r="F85" s="10">
        <f>IF(A85&lt;=$B$8*12,D85*$B$9,"")</f>
        <v/>
      </c>
    </row>
    <row r="86">
      <c r="A86" s="9" t="n">
        <v>63</v>
      </c>
      <c r="B86" s="10">
        <f>IF(A86&lt;=$B$8*12,$B$6,"")</f>
        <v/>
      </c>
      <c r="C86" s="10">
        <f>IF(A86&lt;=$B$8*12,C85+B86,"")</f>
        <v/>
      </c>
      <c r="D86" s="10">
        <f>IF(A86&lt;=$B$8*12,(D85+B86)*(1+$B$9),"")</f>
        <v/>
      </c>
      <c r="E86" s="10">
        <f>IF(A86&lt;=$B$8*12,D86-$B$6-IFERROR(D85,$B$7),"")</f>
        <v/>
      </c>
      <c r="F86" s="10">
        <f>IF(A86&lt;=$B$8*12,D86*$B$9,"")</f>
        <v/>
      </c>
    </row>
    <row r="87">
      <c r="A87" s="9" t="n">
        <v>64</v>
      </c>
      <c r="B87" s="10">
        <f>IF(A87&lt;=$B$8*12,$B$6,"")</f>
        <v/>
      </c>
      <c r="C87" s="10">
        <f>IF(A87&lt;=$B$8*12,C86+B87,"")</f>
        <v/>
      </c>
      <c r="D87" s="10">
        <f>IF(A87&lt;=$B$8*12,(D86+B87)*(1+$B$9),"")</f>
        <v/>
      </c>
      <c r="E87" s="10">
        <f>IF(A87&lt;=$B$8*12,D87-$B$6-IFERROR(D86,$B$7),"")</f>
        <v/>
      </c>
      <c r="F87" s="10">
        <f>IF(A87&lt;=$B$8*12,D87*$B$9,"")</f>
        <v/>
      </c>
    </row>
    <row r="88">
      <c r="A88" s="9" t="n">
        <v>65</v>
      </c>
      <c r="B88" s="10">
        <f>IF(A88&lt;=$B$8*12,$B$6,"")</f>
        <v/>
      </c>
      <c r="C88" s="10">
        <f>IF(A88&lt;=$B$8*12,C87+B88,"")</f>
        <v/>
      </c>
      <c r="D88" s="10">
        <f>IF(A88&lt;=$B$8*12,(D87+B88)*(1+$B$9),"")</f>
        <v/>
      </c>
      <c r="E88" s="10">
        <f>IF(A88&lt;=$B$8*12,D88-$B$6-IFERROR(D87,$B$7),"")</f>
        <v/>
      </c>
      <c r="F88" s="10">
        <f>IF(A88&lt;=$B$8*12,D88*$B$9,"")</f>
        <v/>
      </c>
    </row>
    <row r="89">
      <c r="A89" s="9" t="n">
        <v>66</v>
      </c>
      <c r="B89" s="10">
        <f>IF(A89&lt;=$B$8*12,$B$6,"")</f>
        <v/>
      </c>
      <c r="C89" s="10">
        <f>IF(A89&lt;=$B$8*12,C88+B89,"")</f>
        <v/>
      </c>
      <c r="D89" s="10">
        <f>IF(A89&lt;=$B$8*12,(D88+B89)*(1+$B$9),"")</f>
        <v/>
      </c>
      <c r="E89" s="10">
        <f>IF(A89&lt;=$B$8*12,D89-$B$6-IFERROR(D88,$B$7),"")</f>
        <v/>
      </c>
      <c r="F89" s="10">
        <f>IF(A89&lt;=$B$8*12,D89*$B$9,"")</f>
        <v/>
      </c>
    </row>
    <row r="90">
      <c r="A90" s="9" t="n">
        <v>67</v>
      </c>
      <c r="B90" s="10">
        <f>IF(A90&lt;=$B$8*12,$B$6,"")</f>
        <v/>
      </c>
      <c r="C90" s="10">
        <f>IF(A90&lt;=$B$8*12,C89+B90,"")</f>
        <v/>
      </c>
      <c r="D90" s="10">
        <f>IF(A90&lt;=$B$8*12,(D89+B90)*(1+$B$9),"")</f>
        <v/>
      </c>
      <c r="E90" s="10">
        <f>IF(A90&lt;=$B$8*12,D90-$B$6-IFERROR(D89,$B$7),"")</f>
        <v/>
      </c>
      <c r="F90" s="10">
        <f>IF(A90&lt;=$B$8*12,D90*$B$9,"")</f>
        <v/>
      </c>
    </row>
    <row r="91">
      <c r="A91" s="9" t="n">
        <v>68</v>
      </c>
      <c r="B91" s="10">
        <f>IF(A91&lt;=$B$8*12,$B$6,"")</f>
        <v/>
      </c>
      <c r="C91" s="10">
        <f>IF(A91&lt;=$B$8*12,C90+B91,"")</f>
        <v/>
      </c>
      <c r="D91" s="10">
        <f>IF(A91&lt;=$B$8*12,(D90+B91)*(1+$B$9),"")</f>
        <v/>
      </c>
      <c r="E91" s="10">
        <f>IF(A91&lt;=$B$8*12,D91-$B$6-IFERROR(D90,$B$7),"")</f>
        <v/>
      </c>
      <c r="F91" s="10">
        <f>IF(A91&lt;=$B$8*12,D91*$B$9,"")</f>
        <v/>
      </c>
    </row>
    <row r="92">
      <c r="A92" s="9" t="n">
        <v>69</v>
      </c>
      <c r="B92" s="10">
        <f>IF(A92&lt;=$B$8*12,$B$6,"")</f>
        <v/>
      </c>
      <c r="C92" s="10">
        <f>IF(A92&lt;=$B$8*12,C91+B92,"")</f>
        <v/>
      </c>
      <c r="D92" s="10">
        <f>IF(A92&lt;=$B$8*12,(D91+B92)*(1+$B$9),"")</f>
        <v/>
      </c>
      <c r="E92" s="10">
        <f>IF(A92&lt;=$B$8*12,D92-$B$6-IFERROR(D91,$B$7),"")</f>
        <v/>
      </c>
      <c r="F92" s="10">
        <f>IF(A92&lt;=$B$8*12,D92*$B$9,"")</f>
        <v/>
      </c>
    </row>
    <row r="93">
      <c r="A93" s="9" t="n">
        <v>70</v>
      </c>
      <c r="B93" s="10">
        <f>IF(A93&lt;=$B$8*12,$B$6,"")</f>
        <v/>
      </c>
      <c r="C93" s="10">
        <f>IF(A93&lt;=$B$8*12,C92+B93,"")</f>
        <v/>
      </c>
      <c r="D93" s="10">
        <f>IF(A93&lt;=$B$8*12,(D92+B93)*(1+$B$9),"")</f>
        <v/>
      </c>
      <c r="E93" s="10">
        <f>IF(A93&lt;=$B$8*12,D93-$B$6-IFERROR(D92,$B$7),"")</f>
        <v/>
      </c>
      <c r="F93" s="10">
        <f>IF(A93&lt;=$B$8*12,D93*$B$9,"")</f>
        <v/>
      </c>
    </row>
    <row r="94">
      <c r="A94" s="9" t="n">
        <v>71</v>
      </c>
      <c r="B94" s="10">
        <f>IF(A94&lt;=$B$8*12,$B$6,"")</f>
        <v/>
      </c>
      <c r="C94" s="10">
        <f>IF(A94&lt;=$B$8*12,C93+B94,"")</f>
        <v/>
      </c>
      <c r="D94" s="10">
        <f>IF(A94&lt;=$B$8*12,(D93+B94)*(1+$B$9),"")</f>
        <v/>
      </c>
      <c r="E94" s="10">
        <f>IF(A94&lt;=$B$8*12,D94-$B$6-IFERROR(D93,$B$7),"")</f>
        <v/>
      </c>
      <c r="F94" s="10">
        <f>IF(A94&lt;=$B$8*12,D94*$B$9,"")</f>
        <v/>
      </c>
    </row>
    <row r="95">
      <c r="A95" s="9" t="n">
        <v>72</v>
      </c>
      <c r="B95" s="10">
        <f>IF(A95&lt;=$B$8*12,$B$6,"")</f>
        <v/>
      </c>
      <c r="C95" s="10">
        <f>IF(A95&lt;=$B$8*12,C94+B95,"")</f>
        <v/>
      </c>
      <c r="D95" s="10">
        <f>IF(A95&lt;=$B$8*12,(D94+B95)*(1+$B$9),"")</f>
        <v/>
      </c>
      <c r="E95" s="10">
        <f>IF(A95&lt;=$B$8*12,D95-$B$6-IFERROR(D94,$B$7),"")</f>
        <v/>
      </c>
      <c r="F95" s="10">
        <f>IF(A95&lt;=$B$8*12,D95*$B$9,"")</f>
        <v/>
      </c>
    </row>
    <row r="96">
      <c r="A96" s="9" t="n">
        <v>73</v>
      </c>
      <c r="B96" s="10">
        <f>IF(A96&lt;=$B$8*12,$B$6,"")</f>
        <v/>
      </c>
      <c r="C96" s="10">
        <f>IF(A96&lt;=$B$8*12,C95+B96,"")</f>
        <v/>
      </c>
      <c r="D96" s="10">
        <f>IF(A96&lt;=$B$8*12,(D95+B96)*(1+$B$9),"")</f>
        <v/>
      </c>
      <c r="E96" s="10">
        <f>IF(A96&lt;=$B$8*12,D96-$B$6-IFERROR(D95,$B$7),"")</f>
        <v/>
      </c>
      <c r="F96" s="10">
        <f>IF(A96&lt;=$B$8*12,D96*$B$9,"")</f>
        <v/>
      </c>
    </row>
    <row r="97">
      <c r="A97" s="9" t="n">
        <v>74</v>
      </c>
      <c r="B97" s="10">
        <f>IF(A97&lt;=$B$8*12,$B$6,"")</f>
        <v/>
      </c>
      <c r="C97" s="10">
        <f>IF(A97&lt;=$B$8*12,C96+B97,"")</f>
        <v/>
      </c>
      <c r="D97" s="10">
        <f>IF(A97&lt;=$B$8*12,(D96+B97)*(1+$B$9),"")</f>
        <v/>
      </c>
      <c r="E97" s="10">
        <f>IF(A97&lt;=$B$8*12,D97-$B$6-IFERROR(D96,$B$7),"")</f>
        <v/>
      </c>
      <c r="F97" s="10">
        <f>IF(A97&lt;=$B$8*12,D97*$B$9,"")</f>
        <v/>
      </c>
    </row>
    <row r="98">
      <c r="A98" s="9" t="n">
        <v>75</v>
      </c>
      <c r="B98" s="10">
        <f>IF(A98&lt;=$B$8*12,$B$6,"")</f>
        <v/>
      </c>
      <c r="C98" s="10">
        <f>IF(A98&lt;=$B$8*12,C97+B98,"")</f>
        <v/>
      </c>
      <c r="D98" s="10">
        <f>IF(A98&lt;=$B$8*12,(D97+B98)*(1+$B$9),"")</f>
        <v/>
      </c>
      <c r="E98" s="10">
        <f>IF(A98&lt;=$B$8*12,D98-$B$6-IFERROR(D97,$B$7),"")</f>
        <v/>
      </c>
      <c r="F98" s="10">
        <f>IF(A98&lt;=$B$8*12,D98*$B$9,"")</f>
        <v/>
      </c>
    </row>
    <row r="99">
      <c r="A99" s="9" t="n">
        <v>76</v>
      </c>
      <c r="B99" s="10">
        <f>IF(A99&lt;=$B$8*12,$B$6,"")</f>
        <v/>
      </c>
      <c r="C99" s="10">
        <f>IF(A99&lt;=$B$8*12,C98+B99,"")</f>
        <v/>
      </c>
      <c r="D99" s="10">
        <f>IF(A99&lt;=$B$8*12,(D98+B99)*(1+$B$9),"")</f>
        <v/>
      </c>
      <c r="E99" s="10">
        <f>IF(A99&lt;=$B$8*12,D99-$B$6-IFERROR(D98,$B$7),"")</f>
        <v/>
      </c>
      <c r="F99" s="10">
        <f>IF(A99&lt;=$B$8*12,D99*$B$9,"")</f>
        <v/>
      </c>
    </row>
    <row r="100">
      <c r="A100" s="9" t="n">
        <v>77</v>
      </c>
      <c r="B100" s="10">
        <f>IF(A100&lt;=$B$8*12,$B$6,"")</f>
        <v/>
      </c>
      <c r="C100" s="10">
        <f>IF(A100&lt;=$B$8*12,C99+B100,"")</f>
        <v/>
      </c>
      <c r="D100" s="10">
        <f>IF(A100&lt;=$B$8*12,(D99+B100)*(1+$B$9),"")</f>
        <v/>
      </c>
      <c r="E100" s="10">
        <f>IF(A100&lt;=$B$8*12,D100-$B$6-IFERROR(D99,$B$7),"")</f>
        <v/>
      </c>
      <c r="F100" s="10">
        <f>IF(A100&lt;=$B$8*12,D100*$B$9,"")</f>
        <v/>
      </c>
    </row>
    <row r="101">
      <c r="A101" s="9" t="n">
        <v>78</v>
      </c>
      <c r="B101" s="10">
        <f>IF(A101&lt;=$B$8*12,$B$6,"")</f>
        <v/>
      </c>
      <c r="C101" s="10">
        <f>IF(A101&lt;=$B$8*12,C100+B101,"")</f>
        <v/>
      </c>
      <c r="D101" s="10">
        <f>IF(A101&lt;=$B$8*12,(D100+B101)*(1+$B$9),"")</f>
        <v/>
      </c>
      <c r="E101" s="10">
        <f>IF(A101&lt;=$B$8*12,D101-$B$6-IFERROR(D100,$B$7),"")</f>
        <v/>
      </c>
      <c r="F101" s="10">
        <f>IF(A101&lt;=$B$8*12,D101*$B$9,"")</f>
        <v/>
      </c>
    </row>
    <row r="102">
      <c r="A102" s="9" t="n">
        <v>79</v>
      </c>
      <c r="B102" s="10">
        <f>IF(A102&lt;=$B$8*12,$B$6,"")</f>
        <v/>
      </c>
      <c r="C102" s="10">
        <f>IF(A102&lt;=$B$8*12,C101+B102,"")</f>
        <v/>
      </c>
      <c r="D102" s="10">
        <f>IF(A102&lt;=$B$8*12,(D101+B102)*(1+$B$9),"")</f>
        <v/>
      </c>
      <c r="E102" s="10">
        <f>IF(A102&lt;=$B$8*12,D102-$B$6-IFERROR(D101,$B$7),"")</f>
        <v/>
      </c>
      <c r="F102" s="10">
        <f>IF(A102&lt;=$B$8*12,D102*$B$9,"")</f>
        <v/>
      </c>
    </row>
    <row r="103">
      <c r="A103" s="9" t="n">
        <v>80</v>
      </c>
      <c r="B103" s="10">
        <f>IF(A103&lt;=$B$8*12,$B$6,"")</f>
        <v/>
      </c>
      <c r="C103" s="10">
        <f>IF(A103&lt;=$B$8*12,C102+B103,"")</f>
        <v/>
      </c>
      <c r="D103" s="10">
        <f>IF(A103&lt;=$B$8*12,(D102+B103)*(1+$B$9),"")</f>
        <v/>
      </c>
      <c r="E103" s="10">
        <f>IF(A103&lt;=$B$8*12,D103-$B$6-IFERROR(D102,$B$7),"")</f>
        <v/>
      </c>
      <c r="F103" s="10">
        <f>IF(A103&lt;=$B$8*12,D103*$B$9,"")</f>
        <v/>
      </c>
    </row>
    <row r="104">
      <c r="A104" s="9" t="n">
        <v>81</v>
      </c>
      <c r="B104" s="10">
        <f>IF(A104&lt;=$B$8*12,$B$6,"")</f>
        <v/>
      </c>
      <c r="C104" s="10">
        <f>IF(A104&lt;=$B$8*12,C103+B104,"")</f>
        <v/>
      </c>
      <c r="D104" s="10">
        <f>IF(A104&lt;=$B$8*12,(D103+B104)*(1+$B$9),"")</f>
        <v/>
      </c>
      <c r="E104" s="10">
        <f>IF(A104&lt;=$B$8*12,D104-$B$6-IFERROR(D103,$B$7),"")</f>
        <v/>
      </c>
      <c r="F104" s="10">
        <f>IF(A104&lt;=$B$8*12,D104*$B$9,"")</f>
        <v/>
      </c>
    </row>
    <row r="105">
      <c r="A105" s="9" t="n">
        <v>82</v>
      </c>
      <c r="B105" s="10">
        <f>IF(A105&lt;=$B$8*12,$B$6,"")</f>
        <v/>
      </c>
      <c r="C105" s="10">
        <f>IF(A105&lt;=$B$8*12,C104+B105,"")</f>
        <v/>
      </c>
      <c r="D105" s="10">
        <f>IF(A105&lt;=$B$8*12,(D104+B105)*(1+$B$9),"")</f>
        <v/>
      </c>
      <c r="E105" s="10">
        <f>IF(A105&lt;=$B$8*12,D105-$B$6-IFERROR(D104,$B$7),"")</f>
        <v/>
      </c>
      <c r="F105" s="10">
        <f>IF(A105&lt;=$B$8*12,D105*$B$9,"")</f>
        <v/>
      </c>
    </row>
    <row r="106">
      <c r="A106" s="9" t="n">
        <v>83</v>
      </c>
      <c r="B106" s="10">
        <f>IF(A106&lt;=$B$8*12,$B$6,"")</f>
        <v/>
      </c>
      <c r="C106" s="10">
        <f>IF(A106&lt;=$B$8*12,C105+B106,"")</f>
        <v/>
      </c>
      <c r="D106" s="10">
        <f>IF(A106&lt;=$B$8*12,(D105+B106)*(1+$B$9),"")</f>
        <v/>
      </c>
      <c r="E106" s="10">
        <f>IF(A106&lt;=$B$8*12,D106-$B$6-IFERROR(D105,$B$7),"")</f>
        <v/>
      </c>
      <c r="F106" s="10">
        <f>IF(A106&lt;=$B$8*12,D106*$B$9,"")</f>
        <v/>
      </c>
    </row>
    <row r="107">
      <c r="A107" s="9" t="n">
        <v>84</v>
      </c>
      <c r="B107" s="10">
        <f>IF(A107&lt;=$B$8*12,$B$6,"")</f>
        <v/>
      </c>
      <c r="C107" s="10">
        <f>IF(A107&lt;=$B$8*12,C106+B107,"")</f>
        <v/>
      </c>
      <c r="D107" s="10">
        <f>IF(A107&lt;=$B$8*12,(D106+B107)*(1+$B$9),"")</f>
        <v/>
      </c>
      <c r="E107" s="10">
        <f>IF(A107&lt;=$B$8*12,D107-$B$6-IFERROR(D106,$B$7),"")</f>
        <v/>
      </c>
      <c r="F107" s="10">
        <f>IF(A107&lt;=$B$8*12,D107*$B$9,"")</f>
        <v/>
      </c>
    </row>
    <row r="108">
      <c r="A108" s="9" t="n">
        <v>85</v>
      </c>
      <c r="B108" s="10">
        <f>IF(A108&lt;=$B$8*12,$B$6,"")</f>
        <v/>
      </c>
      <c r="C108" s="10">
        <f>IF(A108&lt;=$B$8*12,C107+B108,"")</f>
        <v/>
      </c>
      <c r="D108" s="10">
        <f>IF(A108&lt;=$B$8*12,(D107+B108)*(1+$B$9),"")</f>
        <v/>
      </c>
      <c r="E108" s="10">
        <f>IF(A108&lt;=$B$8*12,D108-$B$6-IFERROR(D107,$B$7),"")</f>
        <v/>
      </c>
      <c r="F108" s="10">
        <f>IF(A108&lt;=$B$8*12,D108*$B$9,"")</f>
        <v/>
      </c>
    </row>
    <row r="109">
      <c r="A109" s="9" t="n">
        <v>86</v>
      </c>
      <c r="B109" s="10">
        <f>IF(A109&lt;=$B$8*12,$B$6,"")</f>
        <v/>
      </c>
      <c r="C109" s="10">
        <f>IF(A109&lt;=$B$8*12,C108+B109,"")</f>
        <v/>
      </c>
      <c r="D109" s="10">
        <f>IF(A109&lt;=$B$8*12,(D108+B109)*(1+$B$9),"")</f>
        <v/>
      </c>
      <c r="E109" s="10">
        <f>IF(A109&lt;=$B$8*12,D109-$B$6-IFERROR(D108,$B$7),"")</f>
        <v/>
      </c>
      <c r="F109" s="10">
        <f>IF(A109&lt;=$B$8*12,D109*$B$9,"")</f>
        <v/>
      </c>
    </row>
    <row r="110">
      <c r="A110" s="9" t="n">
        <v>87</v>
      </c>
      <c r="B110" s="10">
        <f>IF(A110&lt;=$B$8*12,$B$6,"")</f>
        <v/>
      </c>
      <c r="C110" s="10">
        <f>IF(A110&lt;=$B$8*12,C109+B110,"")</f>
        <v/>
      </c>
      <c r="D110" s="10">
        <f>IF(A110&lt;=$B$8*12,(D109+B110)*(1+$B$9),"")</f>
        <v/>
      </c>
      <c r="E110" s="10">
        <f>IF(A110&lt;=$B$8*12,D110-$B$6-IFERROR(D109,$B$7),"")</f>
        <v/>
      </c>
      <c r="F110" s="10">
        <f>IF(A110&lt;=$B$8*12,D110*$B$9,"")</f>
        <v/>
      </c>
    </row>
    <row r="111">
      <c r="A111" s="9" t="n">
        <v>88</v>
      </c>
      <c r="B111" s="10">
        <f>IF(A111&lt;=$B$8*12,$B$6,"")</f>
        <v/>
      </c>
      <c r="C111" s="10">
        <f>IF(A111&lt;=$B$8*12,C110+B111,"")</f>
        <v/>
      </c>
      <c r="D111" s="10">
        <f>IF(A111&lt;=$B$8*12,(D110+B111)*(1+$B$9),"")</f>
        <v/>
      </c>
      <c r="E111" s="10">
        <f>IF(A111&lt;=$B$8*12,D111-$B$6-IFERROR(D110,$B$7),"")</f>
        <v/>
      </c>
      <c r="F111" s="10">
        <f>IF(A111&lt;=$B$8*12,D111*$B$9,"")</f>
        <v/>
      </c>
    </row>
    <row r="112">
      <c r="A112" s="9" t="n">
        <v>89</v>
      </c>
      <c r="B112" s="10">
        <f>IF(A112&lt;=$B$8*12,$B$6,"")</f>
        <v/>
      </c>
      <c r="C112" s="10">
        <f>IF(A112&lt;=$B$8*12,C111+B112,"")</f>
        <v/>
      </c>
      <c r="D112" s="10">
        <f>IF(A112&lt;=$B$8*12,(D111+B112)*(1+$B$9),"")</f>
        <v/>
      </c>
      <c r="E112" s="10">
        <f>IF(A112&lt;=$B$8*12,D112-$B$6-IFERROR(D111,$B$7),"")</f>
        <v/>
      </c>
      <c r="F112" s="10">
        <f>IF(A112&lt;=$B$8*12,D112*$B$9,"")</f>
        <v/>
      </c>
    </row>
    <row r="113">
      <c r="A113" s="9" t="n">
        <v>90</v>
      </c>
      <c r="B113" s="10">
        <f>IF(A113&lt;=$B$8*12,$B$6,"")</f>
        <v/>
      </c>
      <c r="C113" s="10">
        <f>IF(A113&lt;=$B$8*12,C112+B113,"")</f>
        <v/>
      </c>
      <c r="D113" s="10">
        <f>IF(A113&lt;=$B$8*12,(D112+B113)*(1+$B$9),"")</f>
        <v/>
      </c>
      <c r="E113" s="10">
        <f>IF(A113&lt;=$B$8*12,D113-$B$6-IFERROR(D112,$B$7),"")</f>
        <v/>
      </c>
      <c r="F113" s="10">
        <f>IF(A113&lt;=$B$8*12,D113*$B$9,"")</f>
        <v/>
      </c>
    </row>
    <row r="114">
      <c r="A114" s="9" t="n">
        <v>91</v>
      </c>
      <c r="B114" s="10">
        <f>IF(A114&lt;=$B$8*12,$B$6,"")</f>
        <v/>
      </c>
      <c r="C114" s="10">
        <f>IF(A114&lt;=$B$8*12,C113+B114,"")</f>
        <v/>
      </c>
      <c r="D114" s="10">
        <f>IF(A114&lt;=$B$8*12,(D113+B114)*(1+$B$9),"")</f>
        <v/>
      </c>
      <c r="E114" s="10">
        <f>IF(A114&lt;=$B$8*12,D114-$B$6-IFERROR(D113,$B$7),"")</f>
        <v/>
      </c>
      <c r="F114" s="10">
        <f>IF(A114&lt;=$B$8*12,D114*$B$9,"")</f>
        <v/>
      </c>
    </row>
    <row r="115">
      <c r="A115" s="9" t="n">
        <v>92</v>
      </c>
      <c r="B115" s="10">
        <f>IF(A115&lt;=$B$8*12,$B$6,"")</f>
        <v/>
      </c>
      <c r="C115" s="10">
        <f>IF(A115&lt;=$B$8*12,C114+B115,"")</f>
        <v/>
      </c>
      <c r="D115" s="10">
        <f>IF(A115&lt;=$B$8*12,(D114+B115)*(1+$B$9),"")</f>
        <v/>
      </c>
      <c r="E115" s="10">
        <f>IF(A115&lt;=$B$8*12,D115-$B$6-IFERROR(D114,$B$7),"")</f>
        <v/>
      </c>
      <c r="F115" s="10">
        <f>IF(A115&lt;=$B$8*12,D115*$B$9,"")</f>
        <v/>
      </c>
    </row>
    <row r="116">
      <c r="A116" s="9" t="n">
        <v>93</v>
      </c>
      <c r="B116" s="10">
        <f>IF(A116&lt;=$B$8*12,$B$6,"")</f>
        <v/>
      </c>
      <c r="C116" s="10">
        <f>IF(A116&lt;=$B$8*12,C115+B116,"")</f>
        <v/>
      </c>
      <c r="D116" s="10">
        <f>IF(A116&lt;=$B$8*12,(D115+B116)*(1+$B$9),"")</f>
        <v/>
      </c>
      <c r="E116" s="10">
        <f>IF(A116&lt;=$B$8*12,D116-$B$6-IFERROR(D115,$B$7),"")</f>
        <v/>
      </c>
      <c r="F116" s="10">
        <f>IF(A116&lt;=$B$8*12,D116*$B$9,"")</f>
        <v/>
      </c>
    </row>
    <row r="117">
      <c r="A117" s="9" t="n">
        <v>94</v>
      </c>
      <c r="B117" s="10">
        <f>IF(A117&lt;=$B$8*12,$B$6,"")</f>
        <v/>
      </c>
      <c r="C117" s="10">
        <f>IF(A117&lt;=$B$8*12,C116+B117,"")</f>
        <v/>
      </c>
      <c r="D117" s="10">
        <f>IF(A117&lt;=$B$8*12,(D116+B117)*(1+$B$9),"")</f>
        <v/>
      </c>
      <c r="E117" s="10">
        <f>IF(A117&lt;=$B$8*12,D117-$B$6-IFERROR(D116,$B$7),"")</f>
        <v/>
      </c>
      <c r="F117" s="10">
        <f>IF(A117&lt;=$B$8*12,D117*$B$9,"")</f>
        <v/>
      </c>
    </row>
    <row r="118">
      <c r="A118" s="9" t="n">
        <v>95</v>
      </c>
      <c r="B118" s="10">
        <f>IF(A118&lt;=$B$8*12,$B$6,"")</f>
        <v/>
      </c>
      <c r="C118" s="10">
        <f>IF(A118&lt;=$B$8*12,C117+B118,"")</f>
        <v/>
      </c>
      <c r="D118" s="10">
        <f>IF(A118&lt;=$B$8*12,(D117+B118)*(1+$B$9),"")</f>
        <v/>
      </c>
      <c r="E118" s="10">
        <f>IF(A118&lt;=$B$8*12,D118-$B$6-IFERROR(D117,$B$7),"")</f>
        <v/>
      </c>
      <c r="F118" s="10">
        <f>IF(A118&lt;=$B$8*12,D118*$B$9,"")</f>
        <v/>
      </c>
    </row>
    <row r="119">
      <c r="A119" s="9" t="n">
        <v>96</v>
      </c>
      <c r="B119" s="10">
        <f>IF(A119&lt;=$B$8*12,$B$6,"")</f>
        <v/>
      </c>
      <c r="C119" s="10">
        <f>IF(A119&lt;=$B$8*12,C118+B119,"")</f>
        <v/>
      </c>
      <c r="D119" s="10">
        <f>IF(A119&lt;=$B$8*12,(D118+B119)*(1+$B$9),"")</f>
        <v/>
      </c>
      <c r="E119" s="10">
        <f>IF(A119&lt;=$B$8*12,D119-$B$6-IFERROR(D118,$B$7),"")</f>
        <v/>
      </c>
      <c r="F119" s="10">
        <f>IF(A119&lt;=$B$8*12,D119*$B$9,"")</f>
        <v/>
      </c>
    </row>
    <row r="120">
      <c r="A120" s="9" t="n">
        <v>97</v>
      </c>
      <c r="B120" s="10">
        <f>IF(A120&lt;=$B$8*12,$B$6,"")</f>
        <v/>
      </c>
      <c r="C120" s="10">
        <f>IF(A120&lt;=$B$8*12,C119+B120,"")</f>
        <v/>
      </c>
      <c r="D120" s="10">
        <f>IF(A120&lt;=$B$8*12,(D119+B120)*(1+$B$9),"")</f>
        <v/>
      </c>
      <c r="E120" s="10">
        <f>IF(A120&lt;=$B$8*12,D120-$B$6-IFERROR(D119,$B$7),"")</f>
        <v/>
      </c>
      <c r="F120" s="10">
        <f>IF(A120&lt;=$B$8*12,D120*$B$9,"")</f>
        <v/>
      </c>
    </row>
    <row r="121">
      <c r="A121" s="9" t="n">
        <v>98</v>
      </c>
      <c r="B121" s="10">
        <f>IF(A121&lt;=$B$8*12,$B$6,"")</f>
        <v/>
      </c>
      <c r="C121" s="10">
        <f>IF(A121&lt;=$B$8*12,C120+B121,"")</f>
        <v/>
      </c>
      <c r="D121" s="10">
        <f>IF(A121&lt;=$B$8*12,(D120+B121)*(1+$B$9),"")</f>
        <v/>
      </c>
      <c r="E121" s="10">
        <f>IF(A121&lt;=$B$8*12,D121-$B$6-IFERROR(D120,$B$7),"")</f>
        <v/>
      </c>
      <c r="F121" s="10">
        <f>IF(A121&lt;=$B$8*12,D121*$B$9,"")</f>
        <v/>
      </c>
    </row>
    <row r="122">
      <c r="A122" s="9" t="n">
        <v>99</v>
      </c>
      <c r="B122" s="10">
        <f>IF(A122&lt;=$B$8*12,$B$6,"")</f>
        <v/>
      </c>
      <c r="C122" s="10">
        <f>IF(A122&lt;=$B$8*12,C121+B122,"")</f>
        <v/>
      </c>
      <c r="D122" s="10">
        <f>IF(A122&lt;=$B$8*12,(D121+B122)*(1+$B$9),"")</f>
        <v/>
      </c>
      <c r="E122" s="10">
        <f>IF(A122&lt;=$B$8*12,D122-$B$6-IFERROR(D121,$B$7),"")</f>
        <v/>
      </c>
      <c r="F122" s="10">
        <f>IF(A122&lt;=$B$8*12,D122*$B$9,"")</f>
        <v/>
      </c>
    </row>
    <row r="123">
      <c r="A123" s="9" t="n">
        <v>100</v>
      </c>
      <c r="B123" s="10">
        <f>IF(A123&lt;=$B$8*12,$B$6,"")</f>
        <v/>
      </c>
      <c r="C123" s="10">
        <f>IF(A123&lt;=$B$8*12,C122+B123,"")</f>
        <v/>
      </c>
      <c r="D123" s="10">
        <f>IF(A123&lt;=$B$8*12,(D122+B123)*(1+$B$9),"")</f>
        <v/>
      </c>
      <c r="E123" s="10">
        <f>IF(A123&lt;=$B$8*12,D123-$B$6-IFERROR(D122,$B$7),"")</f>
        <v/>
      </c>
      <c r="F123" s="10">
        <f>IF(A123&lt;=$B$8*12,D123*$B$9,"")</f>
        <v/>
      </c>
    </row>
    <row r="124">
      <c r="A124" s="9" t="n">
        <v>101</v>
      </c>
      <c r="B124" s="10">
        <f>IF(A124&lt;=$B$8*12,$B$6,"")</f>
        <v/>
      </c>
      <c r="C124" s="10">
        <f>IF(A124&lt;=$B$8*12,C123+B124,"")</f>
        <v/>
      </c>
      <c r="D124" s="10">
        <f>IF(A124&lt;=$B$8*12,(D123+B124)*(1+$B$9),"")</f>
        <v/>
      </c>
      <c r="E124" s="10">
        <f>IF(A124&lt;=$B$8*12,D124-$B$6-IFERROR(D123,$B$7),"")</f>
        <v/>
      </c>
      <c r="F124" s="10">
        <f>IF(A124&lt;=$B$8*12,D124*$B$9,"")</f>
        <v/>
      </c>
    </row>
    <row r="125">
      <c r="A125" s="9" t="n">
        <v>102</v>
      </c>
      <c r="B125" s="10">
        <f>IF(A125&lt;=$B$8*12,$B$6,"")</f>
        <v/>
      </c>
      <c r="C125" s="10">
        <f>IF(A125&lt;=$B$8*12,C124+B125,"")</f>
        <v/>
      </c>
      <c r="D125" s="10">
        <f>IF(A125&lt;=$B$8*12,(D124+B125)*(1+$B$9),"")</f>
        <v/>
      </c>
      <c r="E125" s="10">
        <f>IF(A125&lt;=$B$8*12,D125-$B$6-IFERROR(D124,$B$7),"")</f>
        <v/>
      </c>
      <c r="F125" s="10">
        <f>IF(A125&lt;=$B$8*12,D125*$B$9,"")</f>
        <v/>
      </c>
    </row>
    <row r="126">
      <c r="A126" s="9" t="n">
        <v>103</v>
      </c>
      <c r="B126" s="10">
        <f>IF(A126&lt;=$B$8*12,$B$6,"")</f>
        <v/>
      </c>
      <c r="C126" s="10">
        <f>IF(A126&lt;=$B$8*12,C125+B126,"")</f>
        <v/>
      </c>
      <c r="D126" s="10">
        <f>IF(A126&lt;=$B$8*12,(D125+B126)*(1+$B$9),"")</f>
        <v/>
      </c>
      <c r="E126" s="10">
        <f>IF(A126&lt;=$B$8*12,D126-$B$6-IFERROR(D125,$B$7),"")</f>
        <v/>
      </c>
      <c r="F126" s="10">
        <f>IF(A126&lt;=$B$8*12,D126*$B$9,"")</f>
        <v/>
      </c>
    </row>
    <row r="127">
      <c r="A127" s="9" t="n">
        <v>104</v>
      </c>
      <c r="B127" s="10">
        <f>IF(A127&lt;=$B$8*12,$B$6,"")</f>
        <v/>
      </c>
      <c r="C127" s="10">
        <f>IF(A127&lt;=$B$8*12,C126+B127,"")</f>
        <v/>
      </c>
      <c r="D127" s="10">
        <f>IF(A127&lt;=$B$8*12,(D126+B127)*(1+$B$9),"")</f>
        <v/>
      </c>
      <c r="E127" s="10">
        <f>IF(A127&lt;=$B$8*12,D127-$B$6-IFERROR(D126,$B$7),"")</f>
        <v/>
      </c>
      <c r="F127" s="10">
        <f>IF(A127&lt;=$B$8*12,D127*$B$9,"")</f>
        <v/>
      </c>
    </row>
    <row r="128">
      <c r="A128" s="9" t="n">
        <v>105</v>
      </c>
      <c r="B128" s="10">
        <f>IF(A128&lt;=$B$8*12,$B$6,"")</f>
        <v/>
      </c>
      <c r="C128" s="10">
        <f>IF(A128&lt;=$B$8*12,C127+B128,"")</f>
        <v/>
      </c>
      <c r="D128" s="10">
        <f>IF(A128&lt;=$B$8*12,(D127+B128)*(1+$B$9),"")</f>
        <v/>
      </c>
      <c r="E128" s="10">
        <f>IF(A128&lt;=$B$8*12,D128-$B$6-IFERROR(D127,$B$7),"")</f>
        <v/>
      </c>
      <c r="F128" s="10">
        <f>IF(A128&lt;=$B$8*12,D128*$B$9,"")</f>
        <v/>
      </c>
    </row>
    <row r="129">
      <c r="A129" s="9" t="n">
        <v>106</v>
      </c>
      <c r="B129" s="10">
        <f>IF(A129&lt;=$B$8*12,$B$6,"")</f>
        <v/>
      </c>
      <c r="C129" s="10">
        <f>IF(A129&lt;=$B$8*12,C128+B129,"")</f>
        <v/>
      </c>
      <c r="D129" s="10">
        <f>IF(A129&lt;=$B$8*12,(D128+B129)*(1+$B$9),"")</f>
        <v/>
      </c>
      <c r="E129" s="10">
        <f>IF(A129&lt;=$B$8*12,D129-$B$6-IFERROR(D128,$B$7),"")</f>
        <v/>
      </c>
      <c r="F129" s="10">
        <f>IF(A129&lt;=$B$8*12,D129*$B$9,"")</f>
        <v/>
      </c>
    </row>
    <row r="130">
      <c r="A130" s="9" t="n">
        <v>107</v>
      </c>
      <c r="B130" s="10">
        <f>IF(A130&lt;=$B$8*12,$B$6,"")</f>
        <v/>
      </c>
      <c r="C130" s="10">
        <f>IF(A130&lt;=$B$8*12,C129+B130,"")</f>
        <v/>
      </c>
      <c r="D130" s="10">
        <f>IF(A130&lt;=$B$8*12,(D129+B130)*(1+$B$9),"")</f>
        <v/>
      </c>
      <c r="E130" s="10">
        <f>IF(A130&lt;=$B$8*12,D130-$B$6-IFERROR(D129,$B$7),"")</f>
        <v/>
      </c>
      <c r="F130" s="10">
        <f>IF(A130&lt;=$B$8*12,D130*$B$9,"")</f>
        <v/>
      </c>
    </row>
    <row r="131">
      <c r="A131" s="9" t="n">
        <v>108</v>
      </c>
      <c r="B131" s="10">
        <f>IF(A131&lt;=$B$8*12,$B$6,"")</f>
        <v/>
      </c>
      <c r="C131" s="10">
        <f>IF(A131&lt;=$B$8*12,C130+B131,"")</f>
        <v/>
      </c>
      <c r="D131" s="10">
        <f>IF(A131&lt;=$B$8*12,(D130+B131)*(1+$B$9),"")</f>
        <v/>
      </c>
      <c r="E131" s="10">
        <f>IF(A131&lt;=$B$8*12,D131-$B$6-IFERROR(D130,$B$7),"")</f>
        <v/>
      </c>
      <c r="F131" s="10">
        <f>IF(A131&lt;=$B$8*12,D131*$B$9,"")</f>
        <v/>
      </c>
    </row>
    <row r="132">
      <c r="A132" s="9" t="n">
        <v>109</v>
      </c>
      <c r="B132" s="10">
        <f>IF(A132&lt;=$B$8*12,$B$6,"")</f>
        <v/>
      </c>
      <c r="C132" s="10">
        <f>IF(A132&lt;=$B$8*12,C131+B132,"")</f>
        <v/>
      </c>
      <c r="D132" s="10">
        <f>IF(A132&lt;=$B$8*12,(D131+B132)*(1+$B$9),"")</f>
        <v/>
      </c>
      <c r="E132" s="10">
        <f>IF(A132&lt;=$B$8*12,D132-$B$6-IFERROR(D131,$B$7),"")</f>
        <v/>
      </c>
      <c r="F132" s="10">
        <f>IF(A132&lt;=$B$8*12,D132*$B$9,"")</f>
        <v/>
      </c>
    </row>
    <row r="133">
      <c r="A133" s="9" t="n">
        <v>110</v>
      </c>
      <c r="B133" s="10">
        <f>IF(A133&lt;=$B$8*12,$B$6,"")</f>
        <v/>
      </c>
      <c r="C133" s="10">
        <f>IF(A133&lt;=$B$8*12,C132+B133,"")</f>
        <v/>
      </c>
      <c r="D133" s="10">
        <f>IF(A133&lt;=$B$8*12,(D132+B133)*(1+$B$9),"")</f>
        <v/>
      </c>
      <c r="E133" s="10">
        <f>IF(A133&lt;=$B$8*12,D133-$B$6-IFERROR(D132,$B$7),"")</f>
        <v/>
      </c>
      <c r="F133" s="10">
        <f>IF(A133&lt;=$B$8*12,D133*$B$9,"")</f>
        <v/>
      </c>
    </row>
    <row r="134">
      <c r="A134" s="9" t="n">
        <v>111</v>
      </c>
      <c r="B134" s="10">
        <f>IF(A134&lt;=$B$8*12,$B$6,"")</f>
        <v/>
      </c>
      <c r="C134" s="10">
        <f>IF(A134&lt;=$B$8*12,C133+B134,"")</f>
        <v/>
      </c>
      <c r="D134" s="10">
        <f>IF(A134&lt;=$B$8*12,(D133+B134)*(1+$B$9),"")</f>
        <v/>
      </c>
      <c r="E134" s="10">
        <f>IF(A134&lt;=$B$8*12,D134-$B$6-IFERROR(D133,$B$7),"")</f>
        <v/>
      </c>
      <c r="F134" s="10">
        <f>IF(A134&lt;=$B$8*12,D134*$B$9,"")</f>
        <v/>
      </c>
    </row>
    <row r="135">
      <c r="A135" s="9" t="n">
        <v>112</v>
      </c>
      <c r="B135" s="10">
        <f>IF(A135&lt;=$B$8*12,$B$6,"")</f>
        <v/>
      </c>
      <c r="C135" s="10">
        <f>IF(A135&lt;=$B$8*12,C134+B135,"")</f>
        <v/>
      </c>
      <c r="D135" s="10">
        <f>IF(A135&lt;=$B$8*12,(D134+B135)*(1+$B$9),"")</f>
        <v/>
      </c>
      <c r="E135" s="10">
        <f>IF(A135&lt;=$B$8*12,D135-$B$6-IFERROR(D134,$B$7),"")</f>
        <v/>
      </c>
      <c r="F135" s="10">
        <f>IF(A135&lt;=$B$8*12,D135*$B$9,"")</f>
        <v/>
      </c>
    </row>
    <row r="136">
      <c r="A136" s="9" t="n">
        <v>113</v>
      </c>
      <c r="B136" s="10">
        <f>IF(A136&lt;=$B$8*12,$B$6,"")</f>
        <v/>
      </c>
      <c r="C136" s="10">
        <f>IF(A136&lt;=$B$8*12,C135+B136,"")</f>
        <v/>
      </c>
      <c r="D136" s="10">
        <f>IF(A136&lt;=$B$8*12,(D135+B136)*(1+$B$9),"")</f>
        <v/>
      </c>
      <c r="E136" s="10">
        <f>IF(A136&lt;=$B$8*12,D136-$B$6-IFERROR(D135,$B$7),"")</f>
        <v/>
      </c>
      <c r="F136" s="10">
        <f>IF(A136&lt;=$B$8*12,D136*$B$9,"")</f>
        <v/>
      </c>
    </row>
    <row r="137">
      <c r="A137" s="9" t="n">
        <v>114</v>
      </c>
      <c r="B137" s="10">
        <f>IF(A137&lt;=$B$8*12,$B$6,"")</f>
        <v/>
      </c>
      <c r="C137" s="10">
        <f>IF(A137&lt;=$B$8*12,C136+B137,"")</f>
        <v/>
      </c>
      <c r="D137" s="10">
        <f>IF(A137&lt;=$B$8*12,(D136+B137)*(1+$B$9),"")</f>
        <v/>
      </c>
      <c r="E137" s="10">
        <f>IF(A137&lt;=$B$8*12,D137-$B$6-IFERROR(D136,$B$7),"")</f>
        <v/>
      </c>
      <c r="F137" s="10">
        <f>IF(A137&lt;=$B$8*12,D137*$B$9,"")</f>
        <v/>
      </c>
    </row>
    <row r="138">
      <c r="A138" s="9" t="n">
        <v>115</v>
      </c>
      <c r="B138" s="10">
        <f>IF(A138&lt;=$B$8*12,$B$6,"")</f>
        <v/>
      </c>
      <c r="C138" s="10">
        <f>IF(A138&lt;=$B$8*12,C137+B138,"")</f>
        <v/>
      </c>
      <c r="D138" s="10">
        <f>IF(A138&lt;=$B$8*12,(D137+B138)*(1+$B$9),"")</f>
        <v/>
      </c>
      <c r="E138" s="10">
        <f>IF(A138&lt;=$B$8*12,D138-$B$6-IFERROR(D137,$B$7),"")</f>
        <v/>
      </c>
      <c r="F138" s="10">
        <f>IF(A138&lt;=$B$8*12,D138*$B$9,"")</f>
        <v/>
      </c>
    </row>
    <row r="139">
      <c r="A139" s="9" t="n">
        <v>116</v>
      </c>
      <c r="B139" s="10">
        <f>IF(A139&lt;=$B$8*12,$B$6,"")</f>
        <v/>
      </c>
      <c r="C139" s="10">
        <f>IF(A139&lt;=$B$8*12,C138+B139,"")</f>
        <v/>
      </c>
      <c r="D139" s="10">
        <f>IF(A139&lt;=$B$8*12,(D138+B139)*(1+$B$9),"")</f>
        <v/>
      </c>
      <c r="E139" s="10">
        <f>IF(A139&lt;=$B$8*12,D139-$B$6-IFERROR(D138,$B$7),"")</f>
        <v/>
      </c>
      <c r="F139" s="10">
        <f>IF(A139&lt;=$B$8*12,D139*$B$9,"")</f>
        <v/>
      </c>
    </row>
    <row r="140">
      <c r="A140" s="9" t="n">
        <v>117</v>
      </c>
      <c r="B140" s="10">
        <f>IF(A140&lt;=$B$8*12,$B$6,"")</f>
        <v/>
      </c>
      <c r="C140" s="10">
        <f>IF(A140&lt;=$B$8*12,C139+B140,"")</f>
        <v/>
      </c>
      <c r="D140" s="10">
        <f>IF(A140&lt;=$B$8*12,(D139+B140)*(1+$B$9),"")</f>
        <v/>
      </c>
      <c r="E140" s="10">
        <f>IF(A140&lt;=$B$8*12,D140-$B$6-IFERROR(D139,$B$7),"")</f>
        <v/>
      </c>
      <c r="F140" s="10">
        <f>IF(A140&lt;=$B$8*12,D140*$B$9,"")</f>
        <v/>
      </c>
    </row>
    <row r="141">
      <c r="A141" s="9" t="n">
        <v>118</v>
      </c>
      <c r="B141" s="10">
        <f>IF(A141&lt;=$B$8*12,$B$6,"")</f>
        <v/>
      </c>
      <c r="C141" s="10">
        <f>IF(A141&lt;=$B$8*12,C140+B141,"")</f>
        <v/>
      </c>
      <c r="D141" s="10">
        <f>IF(A141&lt;=$B$8*12,(D140+B141)*(1+$B$9),"")</f>
        <v/>
      </c>
      <c r="E141" s="10">
        <f>IF(A141&lt;=$B$8*12,D141-$B$6-IFERROR(D140,$B$7),"")</f>
        <v/>
      </c>
      <c r="F141" s="10">
        <f>IF(A141&lt;=$B$8*12,D141*$B$9,"")</f>
        <v/>
      </c>
    </row>
    <row r="142">
      <c r="A142" s="9" t="n">
        <v>119</v>
      </c>
      <c r="B142" s="10">
        <f>IF(A142&lt;=$B$8*12,$B$6,"")</f>
        <v/>
      </c>
      <c r="C142" s="10">
        <f>IF(A142&lt;=$B$8*12,C141+B142,"")</f>
        <v/>
      </c>
      <c r="D142" s="10">
        <f>IF(A142&lt;=$B$8*12,(D141+B142)*(1+$B$9),"")</f>
        <v/>
      </c>
      <c r="E142" s="10">
        <f>IF(A142&lt;=$B$8*12,D142-$B$6-IFERROR(D141,$B$7),"")</f>
        <v/>
      </c>
      <c r="F142" s="10">
        <f>IF(A142&lt;=$B$8*12,D142*$B$9,"")</f>
        <v/>
      </c>
    </row>
    <row r="143">
      <c r="A143" s="9" t="n">
        <v>120</v>
      </c>
      <c r="B143" s="10">
        <f>IF(A143&lt;=$B$8*12,$B$6,"")</f>
        <v/>
      </c>
      <c r="C143" s="10">
        <f>IF(A143&lt;=$B$8*12,C142+B143,"")</f>
        <v/>
      </c>
      <c r="D143" s="10">
        <f>IF(A143&lt;=$B$8*12,(D142+B143)*(1+$B$9),"")</f>
        <v/>
      </c>
      <c r="E143" s="10">
        <f>IF(A143&lt;=$B$8*12,D143-$B$6-IFERROR(D142,$B$7),"")</f>
        <v/>
      </c>
      <c r="F143" s="10">
        <f>IF(A143&lt;=$B$8*12,D143*$B$9,"")</f>
        <v/>
      </c>
    </row>
    <row r="144">
      <c r="A144" s="9" t="n">
        <v>121</v>
      </c>
      <c r="B144" s="10">
        <f>IF(A144&lt;=$B$8*12,$B$6,"")</f>
        <v/>
      </c>
      <c r="C144" s="10">
        <f>IF(A144&lt;=$B$8*12,C143+B144,"")</f>
        <v/>
      </c>
      <c r="D144" s="10">
        <f>IF(A144&lt;=$B$8*12,(D143+B144)*(1+$B$9),"")</f>
        <v/>
      </c>
      <c r="E144" s="10">
        <f>IF(A144&lt;=$B$8*12,D144-$B$6-IFERROR(D143,$B$7),"")</f>
        <v/>
      </c>
      <c r="F144" s="10">
        <f>IF(A144&lt;=$B$8*12,D144*$B$9,"")</f>
        <v/>
      </c>
    </row>
    <row r="145">
      <c r="A145" s="9" t="n">
        <v>122</v>
      </c>
      <c r="B145" s="10">
        <f>IF(A145&lt;=$B$8*12,$B$6,"")</f>
        <v/>
      </c>
      <c r="C145" s="10">
        <f>IF(A145&lt;=$B$8*12,C144+B145,"")</f>
        <v/>
      </c>
      <c r="D145" s="10">
        <f>IF(A145&lt;=$B$8*12,(D144+B145)*(1+$B$9),"")</f>
        <v/>
      </c>
      <c r="E145" s="10">
        <f>IF(A145&lt;=$B$8*12,D145-$B$6-IFERROR(D144,$B$7),"")</f>
        <v/>
      </c>
      <c r="F145" s="10">
        <f>IF(A145&lt;=$B$8*12,D145*$B$9,"")</f>
        <v/>
      </c>
    </row>
    <row r="146">
      <c r="A146" s="9" t="n">
        <v>123</v>
      </c>
      <c r="B146" s="10">
        <f>IF(A146&lt;=$B$8*12,$B$6,"")</f>
        <v/>
      </c>
      <c r="C146" s="10">
        <f>IF(A146&lt;=$B$8*12,C145+B146,"")</f>
        <v/>
      </c>
      <c r="D146" s="10">
        <f>IF(A146&lt;=$B$8*12,(D145+B146)*(1+$B$9),"")</f>
        <v/>
      </c>
      <c r="E146" s="10">
        <f>IF(A146&lt;=$B$8*12,D146-$B$6-IFERROR(D145,$B$7),"")</f>
        <v/>
      </c>
      <c r="F146" s="10">
        <f>IF(A146&lt;=$B$8*12,D146*$B$9,"")</f>
        <v/>
      </c>
    </row>
    <row r="147">
      <c r="A147" s="9" t="n">
        <v>124</v>
      </c>
      <c r="B147" s="10">
        <f>IF(A147&lt;=$B$8*12,$B$6,"")</f>
        <v/>
      </c>
      <c r="C147" s="10">
        <f>IF(A147&lt;=$B$8*12,C146+B147,"")</f>
        <v/>
      </c>
      <c r="D147" s="10">
        <f>IF(A147&lt;=$B$8*12,(D146+B147)*(1+$B$9),"")</f>
        <v/>
      </c>
      <c r="E147" s="10">
        <f>IF(A147&lt;=$B$8*12,D147-$B$6-IFERROR(D146,$B$7),"")</f>
        <v/>
      </c>
      <c r="F147" s="10">
        <f>IF(A147&lt;=$B$8*12,D147*$B$9,"")</f>
        <v/>
      </c>
    </row>
    <row r="148">
      <c r="A148" s="9" t="n">
        <v>125</v>
      </c>
      <c r="B148" s="10">
        <f>IF(A148&lt;=$B$8*12,$B$6,"")</f>
        <v/>
      </c>
      <c r="C148" s="10">
        <f>IF(A148&lt;=$B$8*12,C147+B148,"")</f>
        <v/>
      </c>
      <c r="D148" s="10">
        <f>IF(A148&lt;=$B$8*12,(D147+B148)*(1+$B$9),"")</f>
        <v/>
      </c>
      <c r="E148" s="10">
        <f>IF(A148&lt;=$B$8*12,D148-$B$6-IFERROR(D147,$B$7),"")</f>
        <v/>
      </c>
      <c r="F148" s="10">
        <f>IF(A148&lt;=$B$8*12,D148*$B$9,"")</f>
        <v/>
      </c>
    </row>
    <row r="149">
      <c r="A149" s="9" t="n">
        <v>126</v>
      </c>
      <c r="B149" s="10">
        <f>IF(A149&lt;=$B$8*12,$B$6,"")</f>
        <v/>
      </c>
      <c r="C149" s="10">
        <f>IF(A149&lt;=$B$8*12,C148+B149,"")</f>
        <v/>
      </c>
      <c r="D149" s="10">
        <f>IF(A149&lt;=$B$8*12,(D148+B149)*(1+$B$9),"")</f>
        <v/>
      </c>
      <c r="E149" s="10">
        <f>IF(A149&lt;=$B$8*12,D149-$B$6-IFERROR(D148,$B$7),"")</f>
        <v/>
      </c>
      <c r="F149" s="10">
        <f>IF(A149&lt;=$B$8*12,D149*$B$9,"")</f>
        <v/>
      </c>
    </row>
    <row r="150">
      <c r="A150" s="9" t="n">
        <v>127</v>
      </c>
      <c r="B150" s="10">
        <f>IF(A150&lt;=$B$8*12,$B$6,"")</f>
        <v/>
      </c>
      <c r="C150" s="10">
        <f>IF(A150&lt;=$B$8*12,C149+B150,"")</f>
        <v/>
      </c>
      <c r="D150" s="10">
        <f>IF(A150&lt;=$B$8*12,(D149+B150)*(1+$B$9),"")</f>
        <v/>
      </c>
      <c r="E150" s="10">
        <f>IF(A150&lt;=$B$8*12,D150-$B$6-IFERROR(D149,$B$7),"")</f>
        <v/>
      </c>
      <c r="F150" s="10">
        <f>IF(A150&lt;=$B$8*12,D150*$B$9,"")</f>
        <v/>
      </c>
    </row>
    <row r="151">
      <c r="A151" s="9" t="n">
        <v>128</v>
      </c>
      <c r="B151" s="10">
        <f>IF(A151&lt;=$B$8*12,$B$6,"")</f>
        <v/>
      </c>
      <c r="C151" s="10">
        <f>IF(A151&lt;=$B$8*12,C150+B151,"")</f>
        <v/>
      </c>
      <c r="D151" s="10">
        <f>IF(A151&lt;=$B$8*12,(D150+B151)*(1+$B$9),"")</f>
        <v/>
      </c>
      <c r="E151" s="10">
        <f>IF(A151&lt;=$B$8*12,D151-$B$6-IFERROR(D150,$B$7),"")</f>
        <v/>
      </c>
      <c r="F151" s="10">
        <f>IF(A151&lt;=$B$8*12,D151*$B$9,"")</f>
        <v/>
      </c>
    </row>
    <row r="152">
      <c r="A152" s="9" t="n">
        <v>129</v>
      </c>
      <c r="B152" s="10">
        <f>IF(A152&lt;=$B$8*12,$B$6,"")</f>
        <v/>
      </c>
      <c r="C152" s="10">
        <f>IF(A152&lt;=$B$8*12,C151+B152,"")</f>
        <v/>
      </c>
      <c r="D152" s="10">
        <f>IF(A152&lt;=$B$8*12,(D151+B152)*(1+$B$9),"")</f>
        <v/>
      </c>
      <c r="E152" s="10">
        <f>IF(A152&lt;=$B$8*12,D152-$B$6-IFERROR(D151,$B$7),"")</f>
        <v/>
      </c>
      <c r="F152" s="10">
        <f>IF(A152&lt;=$B$8*12,D152*$B$9,"")</f>
        <v/>
      </c>
    </row>
    <row r="153">
      <c r="A153" s="9" t="n">
        <v>130</v>
      </c>
      <c r="B153" s="10">
        <f>IF(A153&lt;=$B$8*12,$B$6,"")</f>
        <v/>
      </c>
      <c r="C153" s="10">
        <f>IF(A153&lt;=$B$8*12,C152+B153,"")</f>
        <v/>
      </c>
      <c r="D153" s="10">
        <f>IF(A153&lt;=$B$8*12,(D152+B153)*(1+$B$9),"")</f>
        <v/>
      </c>
      <c r="E153" s="10">
        <f>IF(A153&lt;=$B$8*12,D153-$B$6-IFERROR(D152,$B$7),"")</f>
        <v/>
      </c>
      <c r="F153" s="10">
        <f>IF(A153&lt;=$B$8*12,D153*$B$9,"")</f>
        <v/>
      </c>
    </row>
    <row r="154">
      <c r="A154" s="9" t="n">
        <v>131</v>
      </c>
      <c r="B154" s="10">
        <f>IF(A154&lt;=$B$8*12,$B$6,"")</f>
        <v/>
      </c>
      <c r="C154" s="10">
        <f>IF(A154&lt;=$B$8*12,C153+B154,"")</f>
        <v/>
      </c>
      <c r="D154" s="10">
        <f>IF(A154&lt;=$B$8*12,(D153+B154)*(1+$B$9),"")</f>
        <v/>
      </c>
      <c r="E154" s="10">
        <f>IF(A154&lt;=$B$8*12,D154-$B$6-IFERROR(D153,$B$7),"")</f>
        <v/>
      </c>
      <c r="F154" s="10">
        <f>IF(A154&lt;=$B$8*12,D154*$B$9,"")</f>
        <v/>
      </c>
    </row>
    <row r="155">
      <c r="A155" s="9" t="n">
        <v>132</v>
      </c>
      <c r="B155" s="10">
        <f>IF(A155&lt;=$B$8*12,$B$6,"")</f>
        <v/>
      </c>
      <c r="C155" s="10">
        <f>IF(A155&lt;=$B$8*12,C154+B155,"")</f>
        <v/>
      </c>
      <c r="D155" s="10">
        <f>IF(A155&lt;=$B$8*12,(D154+B155)*(1+$B$9),"")</f>
        <v/>
      </c>
      <c r="E155" s="10">
        <f>IF(A155&lt;=$B$8*12,D155-$B$6-IFERROR(D154,$B$7),"")</f>
        <v/>
      </c>
      <c r="F155" s="10">
        <f>IF(A155&lt;=$B$8*12,D155*$B$9,"")</f>
        <v/>
      </c>
    </row>
    <row r="156">
      <c r="A156" s="9" t="n">
        <v>133</v>
      </c>
      <c r="B156" s="10">
        <f>IF(A156&lt;=$B$8*12,$B$6,"")</f>
        <v/>
      </c>
      <c r="C156" s="10">
        <f>IF(A156&lt;=$B$8*12,C155+B156,"")</f>
        <v/>
      </c>
      <c r="D156" s="10">
        <f>IF(A156&lt;=$B$8*12,(D155+B156)*(1+$B$9),"")</f>
        <v/>
      </c>
      <c r="E156" s="10">
        <f>IF(A156&lt;=$B$8*12,D156-$B$6-IFERROR(D155,$B$7),"")</f>
        <v/>
      </c>
      <c r="F156" s="10">
        <f>IF(A156&lt;=$B$8*12,D156*$B$9,"")</f>
        <v/>
      </c>
    </row>
    <row r="157">
      <c r="A157" s="9" t="n">
        <v>134</v>
      </c>
      <c r="B157" s="10">
        <f>IF(A157&lt;=$B$8*12,$B$6,"")</f>
        <v/>
      </c>
      <c r="C157" s="10">
        <f>IF(A157&lt;=$B$8*12,C156+B157,"")</f>
        <v/>
      </c>
      <c r="D157" s="10">
        <f>IF(A157&lt;=$B$8*12,(D156+B157)*(1+$B$9),"")</f>
        <v/>
      </c>
      <c r="E157" s="10">
        <f>IF(A157&lt;=$B$8*12,D157-$B$6-IFERROR(D156,$B$7),"")</f>
        <v/>
      </c>
      <c r="F157" s="10">
        <f>IF(A157&lt;=$B$8*12,D157*$B$9,"")</f>
        <v/>
      </c>
    </row>
    <row r="158">
      <c r="A158" s="9" t="n">
        <v>135</v>
      </c>
      <c r="B158" s="10">
        <f>IF(A158&lt;=$B$8*12,$B$6,"")</f>
        <v/>
      </c>
      <c r="C158" s="10">
        <f>IF(A158&lt;=$B$8*12,C157+B158,"")</f>
        <v/>
      </c>
      <c r="D158" s="10">
        <f>IF(A158&lt;=$B$8*12,(D157+B158)*(1+$B$9),"")</f>
        <v/>
      </c>
      <c r="E158" s="10">
        <f>IF(A158&lt;=$B$8*12,D158-$B$6-IFERROR(D157,$B$7),"")</f>
        <v/>
      </c>
      <c r="F158" s="10">
        <f>IF(A158&lt;=$B$8*12,D158*$B$9,"")</f>
        <v/>
      </c>
    </row>
    <row r="159">
      <c r="A159" s="9" t="n">
        <v>136</v>
      </c>
      <c r="B159" s="10">
        <f>IF(A159&lt;=$B$8*12,$B$6,"")</f>
        <v/>
      </c>
      <c r="C159" s="10">
        <f>IF(A159&lt;=$B$8*12,C158+B159,"")</f>
        <v/>
      </c>
      <c r="D159" s="10">
        <f>IF(A159&lt;=$B$8*12,(D158+B159)*(1+$B$9),"")</f>
        <v/>
      </c>
      <c r="E159" s="10">
        <f>IF(A159&lt;=$B$8*12,D159-$B$6-IFERROR(D158,$B$7),"")</f>
        <v/>
      </c>
      <c r="F159" s="10">
        <f>IF(A159&lt;=$B$8*12,D159*$B$9,"")</f>
        <v/>
      </c>
    </row>
    <row r="160">
      <c r="A160" s="9" t="n">
        <v>137</v>
      </c>
      <c r="B160" s="10">
        <f>IF(A160&lt;=$B$8*12,$B$6,"")</f>
        <v/>
      </c>
      <c r="C160" s="10">
        <f>IF(A160&lt;=$B$8*12,C159+B160,"")</f>
        <v/>
      </c>
      <c r="D160" s="10">
        <f>IF(A160&lt;=$B$8*12,(D159+B160)*(1+$B$9),"")</f>
        <v/>
      </c>
      <c r="E160" s="10">
        <f>IF(A160&lt;=$B$8*12,D160-$B$6-IFERROR(D159,$B$7),"")</f>
        <v/>
      </c>
      <c r="F160" s="10">
        <f>IF(A160&lt;=$B$8*12,D160*$B$9,"")</f>
        <v/>
      </c>
    </row>
    <row r="161">
      <c r="A161" s="9" t="n">
        <v>138</v>
      </c>
      <c r="B161" s="10">
        <f>IF(A161&lt;=$B$8*12,$B$6,"")</f>
        <v/>
      </c>
      <c r="C161" s="10">
        <f>IF(A161&lt;=$B$8*12,C160+B161,"")</f>
        <v/>
      </c>
      <c r="D161" s="10">
        <f>IF(A161&lt;=$B$8*12,(D160+B161)*(1+$B$9),"")</f>
        <v/>
      </c>
      <c r="E161" s="10">
        <f>IF(A161&lt;=$B$8*12,D161-$B$6-IFERROR(D160,$B$7),"")</f>
        <v/>
      </c>
      <c r="F161" s="10">
        <f>IF(A161&lt;=$B$8*12,D161*$B$9,"")</f>
        <v/>
      </c>
    </row>
    <row r="162">
      <c r="A162" s="9" t="n">
        <v>139</v>
      </c>
      <c r="B162" s="10">
        <f>IF(A162&lt;=$B$8*12,$B$6,"")</f>
        <v/>
      </c>
      <c r="C162" s="10">
        <f>IF(A162&lt;=$B$8*12,C161+B162,"")</f>
        <v/>
      </c>
      <c r="D162" s="10">
        <f>IF(A162&lt;=$B$8*12,(D161+B162)*(1+$B$9),"")</f>
        <v/>
      </c>
      <c r="E162" s="10">
        <f>IF(A162&lt;=$B$8*12,D162-$B$6-IFERROR(D161,$B$7),"")</f>
        <v/>
      </c>
      <c r="F162" s="10">
        <f>IF(A162&lt;=$B$8*12,D162*$B$9,"")</f>
        <v/>
      </c>
    </row>
    <row r="163">
      <c r="A163" s="9" t="n">
        <v>140</v>
      </c>
      <c r="B163" s="10">
        <f>IF(A163&lt;=$B$8*12,$B$6,"")</f>
        <v/>
      </c>
      <c r="C163" s="10">
        <f>IF(A163&lt;=$B$8*12,C162+B163,"")</f>
        <v/>
      </c>
      <c r="D163" s="10">
        <f>IF(A163&lt;=$B$8*12,(D162+B163)*(1+$B$9),"")</f>
        <v/>
      </c>
      <c r="E163" s="10">
        <f>IF(A163&lt;=$B$8*12,D163-$B$6-IFERROR(D162,$B$7),"")</f>
        <v/>
      </c>
      <c r="F163" s="10">
        <f>IF(A163&lt;=$B$8*12,D163*$B$9,"")</f>
        <v/>
      </c>
    </row>
    <row r="164">
      <c r="A164" s="9" t="n">
        <v>141</v>
      </c>
      <c r="B164" s="10">
        <f>IF(A164&lt;=$B$8*12,$B$6,"")</f>
        <v/>
      </c>
      <c r="C164" s="10">
        <f>IF(A164&lt;=$B$8*12,C163+B164,"")</f>
        <v/>
      </c>
      <c r="D164" s="10">
        <f>IF(A164&lt;=$B$8*12,(D163+B164)*(1+$B$9),"")</f>
        <v/>
      </c>
      <c r="E164" s="10">
        <f>IF(A164&lt;=$B$8*12,D164-$B$6-IFERROR(D163,$B$7),"")</f>
        <v/>
      </c>
      <c r="F164" s="10">
        <f>IF(A164&lt;=$B$8*12,D164*$B$9,"")</f>
        <v/>
      </c>
    </row>
    <row r="165">
      <c r="A165" s="9" t="n">
        <v>142</v>
      </c>
      <c r="B165" s="10">
        <f>IF(A165&lt;=$B$8*12,$B$6,"")</f>
        <v/>
      </c>
      <c r="C165" s="10">
        <f>IF(A165&lt;=$B$8*12,C164+B165,"")</f>
        <v/>
      </c>
      <c r="D165" s="10">
        <f>IF(A165&lt;=$B$8*12,(D164+B165)*(1+$B$9),"")</f>
        <v/>
      </c>
      <c r="E165" s="10">
        <f>IF(A165&lt;=$B$8*12,D165-$B$6-IFERROR(D164,$B$7),"")</f>
        <v/>
      </c>
      <c r="F165" s="10">
        <f>IF(A165&lt;=$B$8*12,D165*$B$9,"")</f>
        <v/>
      </c>
    </row>
    <row r="166">
      <c r="A166" s="9" t="n">
        <v>143</v>
      </c>
      <c r="B166" s="10">
        <f>IF(A166&lt;=$B$8*12,$B$6,"")</f>
        <v/>
      </c>
      <c r="C166" s="10">
        <f>IF(A166&lt;=$B$8*12,C165+B166,"")</f>
        <v/>
      </c>
      <c r="D166" s="10">
        <f>IF(A166&lt;=$B$8*12,(D165+B166)*(1+$B$9),"")</f>
        <v/>
      </c>
      <c r="E166" s="10">
        <f>IF(A166&lt;=$B$8*12,D166-$B$6-IFERROR(D165,$B$7),"")</f>
        <v/>
      </c>
      <c r="F166" s="10">
        <f>IF(A166&lt;=$B$8*12,D166*$B$9,"")</f>
        <v/>
      </c>
    </row>
    <row r="167">
      <c r="A167" s="9" t="n">
        <v>144</v>
      </c>
      <c r="B167" s="10">
        <f>IF(A167&lt;=$B$8*12,$B$6,"")</f>
        <v/>
      </c>
      <c r="C167" s="10">
        <f>IF(A167&lt;=$B$8*12,C166+B167,"")</f>
        <v/>
      </c>
      <c r="D167" s="10">
        <f>IF(A167&lt;=$B$8*12,(D166+B167)*(1+$B$9),"")</f>
        <v/>
      </c>
      <c r="E167" s="10">
        <f>IF(A167&lt;=$B$8*12,D167-$B$6-IFERROR(D166,$B$7),"")</f>
        <v/>
      </c>
      <c r="F167" s="10">
        <f>IF(A167&lt;=$B$8*12,D167*$B$9,"")</f>
        <v/>
      </c>
    </row>
    <row r="168">
      <c r="A168" s="9" t="n">
        <v>145</v>
      </c>
      <c r="B168" s="10">
        <f>IF(A168&lt;=$B$8*12,$B$6,"")</f>
        <v/>
      </c>
      <c r="C168" s="10">
        <f>IF(A168&lt;=$B$8*12,C167+B168,"")</f>
        <v/>
      </c>
      <c r="D168" s="10">
        <f>IF(A168&lt;=$B$8*12,(D167+B168)*(1+$B$9),"")</f>
        <v/>
      </c>
      <c r="E168" s="10">
        <f>IF(A168&lt;=$B$8*12,D168-$B$6-IFERROR(D167,$B$7),"")</f>
        <v/>
      </c>
      <c r="F168" s="10">
        <f>IF(A168&lt;=$B$8*12,D168*$B$9,"")</f>
        <v/>
      </c>
    </row>
    <row r="169">
      <c r="A169" s="9" t="n">
        <v>146</v>
      </c>
      <c r="B169" s="10">
        <f>IF(A169&lt;=$B$8*12,$B$6,"")</f>
        <v/>
      </c>
      <c r="C169" s="10">
        <f>IF(A169&lt;=$B$8*12,C168+B169,"")</f>
        <v/>
      </c>
      <c r="D169" s="10">
        <f>IF(A169&lt;=$B$8*12,(D168+B169)*(1+$B$9),"")</f>
        <v/>
      </c>
      <c r="E169" s="10">
        <f>IF(A169&lt;=$B$8*12,D169-$B$6-IFERROR(D168,$B$7),"")</f>
        <v/>
      </c>
      <c r="F169" s="10">
        <f>IF(A169&lt;=$B$8*12,D169*$B$9,"")</f>
        <v/>
      </c>
    </row>
    <row r="170">
      <c r="A170" s="9" t="n">
        <v>147</v>
      </c>
      <c r="B170" s="10">
        <f>IF(A170&lt;=$B$8*12,$B$6,"")</f>
        <v/>
      </c>
      <c r="C170" s="10">
        <f>IF(A170&lt;=$B$8*12,C169+B170,"")</f>
        <v/>
      </c>
      <c r="D170" s="10">
        <f>IF(A170&lt;=$B$8*12,(D169+B170)*(1+$B$9),"")</f>
        <v/>
      </c>
      <c r="E170" s="10">
        <f>IF(A170&lt;=$B$8*12,D170-$B$6-IFERROR(D169,$B$7),"")</f>
        <v/>
      </c>
      <c r="F170" s="10">
        <f>IF(A170&lt;=$B$8*12,D170*$B$9,"")</f>
        <v/>
      </c>
    </row>
    <row r="171">
      <c r="A171" s="9" t="n">
        <v>148</v>
      </c>
      <c r="B171" s="10">
        <f>IF(A171&lt;=$B$8*12,$B$6,"")</f>
        <v/>
      </c>
      <c r="C171" s="10">
        <f>IF(A171&lt;=$B$8*12,C170+B171,"")</f>
        <v/>
      </c>
      <c r="D171" s="10">
        <f>IF(A171&lt;=$B$8*12,(D170+B171)*(1+$B$9),"")</f>
        <v/>
      </c>
      <c r="E171" s="10">
        <f>IF(A171&lt;=$B$8*12,D171-$B$6-IFERROR(D170,$B$7),"")</f>
        <v/>
      </c>
      <c r="F171" s="10">
        <f>IF(A171&lt;=$B$8*12,D171*$B$9,"")</f>
        <v/>
      </c>
    </row>
    <row r="172">
      <c r="A172" s="9" t="n">
        <v>149</v>
      </c>
      <c r="B172" s="10">
        <f>IF(A172&lt;=$B$8*12,$B$6,"")</f>
        <v/>
      </c>
      <c r="C172" s="10">
        <f>IF(A172&lt;=$B$8*12,C171+B172,"")</f>
        <v/>
      </c>
      <c r="D172" s="10">
        <f>IF(A172&lt;=$B$8*12,(D171+B172)*(1+$B$9),"")</f>
        <v/>
      </c>
      <c r="E172" s="10">
        <f>IF(A172&lt;=$B$8*12,D172-$B$6-IFERROR(D171,$B$7),"")</f>
        <v/>
      </c>
      <c r="F172" s="10">
        <f>IF(A172&lt;=$B$8*12,D172*$B$9,"")</f>
        <v/>
      </c>
    </row>
    <row r="173">
      <c r="A173" s="9" t="n">
        <v>150</v>
      </c>
      <c r="B173" s="10">
        <f>IF(A173&lt;=$B$8*12,$B$6,"")</f>
        <v/>
      </c>
      <c r="C173" s="10">
        <f>IF(A173&lt;=$B$8*12,C172+B173,"")</f>
        <v/>
      </c>
      <c r="D173" s="10">
        <f>IF(A173&lt;=$B$8*12,(D172+B173)*(1+$B$9),"")</f>
        <v/>
      </c>
      <c r="E173" s="10">
        <f>IF(A173&lt;=$B$8*12,D173-$B$6-IFERROR(D172,$B$7),"")</f>
        <v/>
      </c>
      <c r="F173" s="10">
        <f>IF(A173&lt;=$B$8*12,D173*$B$9,"")</f>
        <v/>
      </c>
    </row>
    <row r="174">
      <c r="A174" s="9" t="n">
        <v>151</v>
      </c>
      <c r="B174" s="10">
        <f>IF(A174&lt;=$B$8*12,$B$6,"")</f>
        <v/>
      </c>
      <c r="C174" s="10">
        <f>IF(A174&lt;=$B$8*12,C173+B174,"")</f>
        <v/>
      </c>
      <c r="D174" s="10">
        <f>IF(A174&lt;=$B$8*12,(D173+B174)*(1+$B$9),"")</f>
        <v/>
      </c>
      <c r="E174" s="10">
        <f>IF(A174&lt;=$B$8*12,D174-$B$6-IFERROR(D173,$B$7),"")</f>
        <v/>
      </c>
      <c r="F174" s="10">
        <f>IF(A174&lt;=$B$8*12,D174*$B$9,"")</f>
        <v/>
      </c>
    </row>
    <row r="175">
      <c r="A175" s="9" t="n">
        <v>152</v>
      </c>
      <c r="B175" s="10">
        <f>IF(A175&lt;=$B$8*12,$B$6,"")</f>
        <v/>
      </c>
      <c r="C175" s="10">
        <f>IF(A175&lt;=$B$8*12,C174+B175,"")</f>
        <v/>
      </c>
      <c r="D175" s="10">
        <f>IF(A175&lt;=$B$8*12,(D174+B175)*(1+$B$9),"")</f>
        <v/>
      </c>
      <c r="E175" s="10">
        <f>IF(A175&lt;=$B$8*12,D175-$B$6-IFERROR(D174,$B$7),"")</f>
        <v/>
      </c>
      <c r="F175" s="10">
        <f>IF(A175&lt;=$B$8*12,D175*$B$9,"")</f>
        <v/>
      </c>
    </row>
    <row r="176">
      <c r="A176" s="9" t="n">
        <v>153</v>
      </c>
      <c r="B176" s="10">
        <f>IF(A176&lt;=$B$8*12,$B$6,"")</f>
        <v/>
      </c>
      <c r="C176" s="10">
        <f>IF(A176&lt;=$B$8*12,C175+B176,"")</f>
        <v/>
      </c>
      <c r="D176" s="10">
        <f>IF(A176&lt;=$B$8*12,(D175+B176)*(1+$B$9),"")</f>
        <v/>
      </c>
      <c r="E176" s="10">
        <f>IF(A176&lt;=$B$8*12,D176-$B$6-IFERROR(D175,$B$7),"")</f>
        <v/>
      </c>
      <c r="F176" s="10">
        <f>IF(A176&lt;=$B$8*12,D176*$B$9,"")</f>
        <v/>
      </c>
    </row>
    <row r="177">
      <c r="A177" s="9" t="n">
        <v>154</v>
      </c>
      <c r="B177" s="10">
        <f>IF(A177&lt;=$B$8*12,$B$6,"")</f>
        <v/>
      </c>
      <c r="C177" s="10">
        <f>IF(A177&lt;=$B$8*12,C176+B177,"")</f>
        <v/>
      </c>
      <c r="D177" s="10">
        <f>IF(A177&lt;=$B$8*12,(D176+B177)*(1+$B$9),"")</f>
        <v/>
      </c>
      <c r="E177" s="10">
        <f>IF(A177&lt;=$B$8*12,D177-$B$6-IFERROR(D176,$B$7),"")</f>
        <v/>
      </c>
      <c r="F177" s="10">
        <f>IF(A177&lt;=$B$8*12,D177*$B$9,"")</f>
        <v/>
      </c>
    </row>
    <row r="178">
      <c r="A178" s="9" t="n">
        <v>155</v>
      </c>
      <c r="B178" s="10">
        <f>IF(A178&lt;=$B$8*12,$B$6,"")</f>
        <v/>
      </c>
      <c r="C178" s="10">
        <f>IF(A178&lt;=$B$8*12,C177+B178,"")</f>
        <v/>
      </c>
      <c r="D178" s="10">
        <f>IF(A178&lt;=$B$8*12,(D177+B178)*(1+$B$9),"")</f>
        <v/>
      </c>
      <c r="E178" s="10">
        <f>IF(A178&lt;=$B$8*12,D178-$B$6-IFERROR(D177,$B$7),"")</f>
        <v/>
      </c>
      <c r="F178" s="10">
        <f>IF(A178&lt;=$B$8*12,D178*$B$9,"")</f>
        <v/>
      </c>
    </row>
    <row r="179">
      <c r="A179" s="9" t="n">
        <v>156</v>
      </c>
      <c r="B179" s="10">
        <f>IF(A179&lt;=$B$8*12,$B$6,"")</f>
        <v/>
      </c>
      <c r="C179" s="10">
        <f>IF(A179&lt;=$B$8*12,C178+B179,"")</f>
        <v/>
      </c>
      <c r="D179" s="10">
        <f>IF(A179&lt;=$B$8*12,(D178+B179)*(1+$B$9),"")</f>
        <v/>
      </c>
      <c r="E179" s="10">
        <f>IF(A179&lt;=$B$8*12,D179-$B$6-IFERROR(D178,$B$7),"")</f>
        <v/>
      </c>
      <c r="F179" s="10">
        <f>IF(A179&lt;=$B$8*12,D179*$B$9,"")</f>
        <v/>
      </c>
    </row>
    <row r="180">
      <c r="A180" s="9" t="n">
        <v>157</v>
      </c>
      <c r="B180" s="10">
        <f>IF(A180&lt;=$B$8*12,$B$6,"")</f>
        <v/>
      </c>
      <c r="C180" s="10">
        <f>IF(A180&lt;=$B$8*12,C179+B180,"")</f>
        <v/>
      </c>
      <c r="D180" s="10">
        <f>IF(A180&lt;=$B$8*12,(D179+B180)*(1+$B$9),"")</f>
        <v/>
      </c>
      <c r="E180" s="10">
        <f>IF(A180&lt;=$B$8*12,D180-$B$6-IFERROR(D179,$B$7),"")</f>
        <v/>
      </c>
      <c r="F180" s="10">
        <f>IF(A180&lt;=$B$8*12,D180*$B$9,"")</f>
        <v/>
      </c>
    </row>
    <row r="181">
      <c r="A181" s="9" t="n">
        <v>158</v>
      </c>
      <c r="B181" s="10">
        <f>IF(A181&lt;=$B$8*12,$B$6,"")</f>
        <v/>
      </c>
      <c r="C181" s="10">
        <f>IF(A181&lt;=$B$8*12,C180+B181,"")</f>
        <v/>
      </c>
      <c r="D181" s="10">
        <f>IF(A181&lt;=$B$8*12,(D180+B181)*(1+$B$9),"")</f>
        <v/>
      </c>
      <c r="E181" s="10">
        <f>IF(A181&lt;=$B$8*12,D181-$B$6-IFERROR(D180,$B$7),"")</f>
        <v/>
      </c>
      <c r="F181" s="10">
        <f>IF(A181&lt;=$B$8*12,D181*$B$9,"")</f>
        <v/>
      </c>
    </row>
    <row r="182">
      <c r="A182" s="9" t="n">
        <v>159</v>
      </c>
      <c r="B182" s="10">
        <f>IF(A182&lt;=$B$8*12,$B$6,"")</f>
        <v/>
      </c>
      <c r="C182" s="10">
        <f>IF(A182&lt;=$B$8*12,C181+B182,"")</f>
        <v/>
      </c>
      <c r="D182" s="10">
        <f>IF(A182&lt;=$B$8*12,(D181+B182)*(1+$B$9),"")</f>
        <v/>
      </c>
      <c r="E182" s="10">
        <f>IF(A182&lt;=$B$8*12,D182-$B$6-IFERROR(D181,$B$7),"")</f>
        <v/>
      </c>
      <c r="F182" s="10">
        <f>IF(A182&lt;=$B$8*12,D182*$B$9,"")</f>
        <v/>
      </c>
    </row>
    <row r="183">
      <c r="A183" s="9" t="n">
        <v>160</v>
      </c>
      <c r="B183" s="10">
        <f>IF(A183&lt;=$B$8*12,$B$6,"")</f>
        <v/>
      </c>
      <c r="C183" s="10">
        <f>IF(A183&lt;=$B$8*12,C182+B183,"")</f>
        <v/>
      </c>
      <c r="D183" s="10">
        <f>IF(A183&lt;=$B$8*12,(D182+B183)*(1+$B$9),"")</f>
        <v/>
      </c>
      <c r="E183" s="10">
        <f>IF(A183&lt;=$B$8*12,D183-$B$6-IFERROR(D182,$B$7),"")</f>
        <v/>
      </c>
      <c r="F183" s="10">
        <f>IF(A183&lt;=$B$8*12,D183*$B$9,"")</f>
        <v/>
      </c>
    </row>
    <row r="184">
      <c r="A184" s="9" t="n">
        <v>161</v>
      </c>
      <c r="B184" s="10">
        <f>IF(A184&lt;=$B$8*12,$B$6,"")</f>
        <v/>
      </c>
      <c r="C184" s="10">
        <f>IF(A184&lt;=$B$8*12,C183+B184,"")</f>
        <v/>
      </c>
      <c r="D184" s="10">
        <f>IF(A184&lt;=$B$8*12,(D183+B184)*(1+$B$9),"")</f>
        <v/>
      </c>
      <c r="E184" s="10">
        <f>IF(A184&lt;=$B$8*12,D184-$B$6-IFERROR(D183,$B$7),"")</f>
        <v/>
      </c>
      <c r="F184" s="10">
        <f>IF(A184&lt;=$B$8*12,D184*$B$9,"")</f>
        <v/>
      </c>
    </row>
    <row r="185">
      <c r="A185" s="9" t="n">
        <v>162</v>
      </c>
      <c r="B185" s="10">
        <f>IF(A185&lt;=$B$8*12,$B$6,"")</f>
        <v/>
      </c>
      <c r="C185" s="10">
        <f>IF(A185&lt;=$B$8*12,C184+B185,"")</f>
        <v/>
      </c>
      <c r="D185" s="10">
        <f>IF(A185&lt;=$B$8*12,(D184+B185)*(1+$B$9),"")</f>
        <v/>
      </c>
      <c r="E185" s="10">
        <f>IF(A185&lt;=$B$8*12,D185-$B$6-IFERROR(D184,$B$7),"")</f>
        <v/>
      </c>
      <c r="F185" s="10">
        <f>IF(A185&lt;=$B$8*12,D185*$B$9,"")</f>
        <v/>
      </c>
    </row>
    <row r="186">
      <c r="A186" s="9" t="n">
        <v>163</v>
      </c>
      <c r="B186" s="10">
        <f>IF(A186&lt;=$B$8*12,$B$6,"")</f>
        <v/>
      </c>
      <c r="C186" s="10">
        <f>IF(A186&lt;=$B$8*12,C185+B186,"")</f>
        <v/>
      </c>
      <c r="D186" s="10">
        <f>IF(A186&lt;=$B$8*12,(D185+B186)*(1+$B$9),"")</f>
        <v/>
      </c>
      <c r="E186" s="10">
        <f>IF(A186&lt;=$B$8*12,D186-$B$6-IFERROR(D185,$B$7),"")</f>
        <v/>
      </c>
      <c r="F186" s="10">
        <f>IF(A186&lt;=$B$8*12,D186*$B$9,"")</f>
        <v/>
      </c>
    </row>
    <row r="187">
      <c r="A187" s="9" t="n">
        <v>164</v>
      </c>
      <c r="B187" s="10">
        <f>IF(A187&lt;=$B$8*12,$B$6,"")</f>
        <v/>
      </c>
      <c r="C187" s="10">
        <f>IF(A187&lt;=$B$8*12,C186+B187,"")</f>
        <v/>
      </c>
      <c r="D187" s="10">
        <f>IF(A187&lt;=$B$8*12,(D186+B187)*(1+$B$9),"")</f>
        <v/>
      </c>
      <c r="E187" s="10">
        <f>IF(A187&lt;=$B$8*12,D187-$B$6-IFERROR(D186,$B$7),"")</f>
        <v/>
      </c>
      <c r="F187" s="10">
        <f>IF(A187&lt;=$B$8*12,D187*$B$9,"")</f>
        <v/>
      </c>
    </row>
    <row r="188">
      <c r="A188" s="9" t="n">
        <v>165</v>
      </c>
      <c r="B188" s="10">
        <f>IF(A188&lt;=$B$8*12,$B$6,"")</f>
        <v/>
      </c>
      <c r="C188" s="10">
        <f>IF(A188&lt;=$B$8*12,C187+B188,"")</f>
        <v/>
      </c>
      <c r="D188" s="10">
        <f>IF(A188&lt;=$B$8*12,(D187+B188)*(1+$B$9),"")</f>
        <v/>
      </c>
      <c r="E188" s="10">
        <f>IF(A188&lt;=$B$8*12,D188-$B$6-IFERROR(D187,$B$7),"")</f>
        <v/>
      </c>
      <c r="F188" s="10">
        <f>IF(A188&lt;=$B$8*12,D188*$B$9,"")</f>
        <v/>
      </c>
    </row>
    <row r="189">
      <c r="A189" s="9" t="n">
        <v>166</v>
      </c>
      <c r="B189" s="10">
        <f>IF(A189&lt;=$B$8*12,$B$6,"")</f>
        <v/>
      </c>
      <c r="C189" s="10">
        <f>IF(A189&lt;=$B$8*12,C188+B189,"")</f>
        <v/>
      </c>
      <c r="D189" s="10">
        <f>IF(A189&lt;=$B$8*12,(D188+B189)*(1+$B$9),"")</f>
        <v/>
      </c>
      <c r="E189" s="10">
        <f>IF(A189&lt;=$B$8*12,D189-$B$6-IFERROR(D188,$B$7),"")</f>
        <v/>
      </c>
      <c r="F189" s="10">
        <f>IF(A189&lt;=$B$8*12,D189*$B$9,"")</f>
        <v/>
      </c>
    </row>
    <row r="190">
      <c r="A190" s="9" t="n">
        <v>167</v>
      </c>
      <c r="B190" s="10">
        <f>IF(A190&lt;=$B$8*12,$B$6,"")</f>
        <v/>
      </c>
      <c r="C190" s="10">
        <f>IF(A190&lt;=$B$8*12,C189+B190,"")</f>
        <v/>
      </c>
      <c r="D190" s="10">
        <f>IF(A190&lt;=$B$8*12,(D189+B190)*(1+$B$9),"")</f>
        <v/>
      </c>
      <c r="E190" s="10">
        <f>IF(A190&lt;=$B$8*12,D190-$B$6-IFERROR(D189,$B$7),"")</f>
        <v/>
      </c>
      <c r="F190" s="10">
        <f>IF(A190&lt;=$B$8*12,D190*$B$9,"")</f>
        <v/>
      </c>
    </row>
    <row r="191">
      <c r="A191" s="9" t="n">
        <v>168</v>
      </c>
      <c r="B191" s="10">
        <f>IF(A191&lt;=$B$8*12,$B$6,"")</f>
        <v/>
      </c>
      <c r="C191" s="10">
        <f>IF(A191&lt;=$B$8*12,C190+B191,"")</f>
        <v/>
      </c>
      <c r="D191" s="10">
        <f>IF(A191&lt;=$B$8*12,(D190+B191)*(1+$B$9),"")</f>
        <v/>
      </c>
      <c r="E191" s="10">
        <f>IF(A191&lt;=$B$8*12,D191-$B$6-IFERROR(D190,$B$7),"")</f>
        <v/>
      </c>
      <c r="F191" s="10">
        <f>IF(A191&lt;=$B$8*12,D191*$B$9,"")</f>
        <v/>
      </c>
    </row>
    <row r="192">
      <c r="A192" s="9" t="n">
        <v>169</v>
      </c>
      <c r="B192" s="10">
        <f>IF(A192&lt;=$B$8*12,$B$6,"")</f>
        <v/>
      </c>
      <c r="C192" s="10">
        <f>IF(A192&lt;=$B$8*12,C191+B192,"")</f>
        <v/>
      </c>
      <c r="D192" s="10">
        <f>IF(A192&lt;=$B$8*12,(D191+B192)*(1+$B$9),"")</f>
        <v/>
      </c>
      <c r="E192" s="10">
        <f>IF(A192&lt;=$B$8*12,D192-$B$6-IFERROR(D191,$B$7),"")</f>
        <v/>
      </c>
      <c r="F192" s="10">
        <f>IF(A192&lt;=$B$8*12,D192*$B$9,"")</f>
        <v/>
      </c>
    </row>
    <row r="193">
      <c r="A193" s="9" t="n">
        <v>170</v>
      </c>
      <c r="B193" s="10">
        <f>IF(A193&lt;=$B$8*12,$B$6,"")</f>
        <v/>
      </c>
      <c r="C193" s="10">
        <f>IF(A193&lt;=$B$8*12,C192+B193,"")</f>
        <v/>
      </c>
      <c r="D193" s="10">
        <f>IF(A193&lt;=$B$8*12,(D192+B193)*(1+$B$9),"")</f>
        <v/>
      </c>
      <c r="E193" s="10">
        <f>IF(A193&lt;=$B$8*12,D193-$B$6-IFERROR(D192,$B$7),"")</f>
        <v/>
      </c>
      <c r="F193" s="10">
        <f>IF(A193&lt;=$B$8*12,D193*$B$9,"")</f>
        <v/>
      </c>
    </row>
    <row r="194">
      <c r="A194" s="9" t="n">
        <v>171</v>
      </c>
      <c r="B194" s="10">
        <f>IF(A194&lt;=$B$8*12,$B$6,"")</f>
        <v/>
      </c>
      <c r="C194" s="10">
        <f>IF(A194&lt;=$B$8*12,C193+B194,"")</f>
        <v/>
      </c>
      <c r="D194" s="10">
        <f>IF(A194&lt;=$B$8*12,(D193+B194)*(1+$B$9),"")</f>
        <v/>
      </c>
      <c r="E194" s="10">
        <f>IF(A194&lt;=$B$8*12,D194-$B$6-IFERROR(D193,$B$7),"")</f>
        <v/>
      </c>
      <c r="F194" s="10">
        <f>IF(A194&lt;=$B$8*12,D194*$B$9,"")</f>
        <v/>
      </c>
    </row>
    <row r="195">
      <c r="A195" s="9" t="n">
        <v>172</v>
      </c>
      <c r="B195" s="10">
        <f>IF(A195&lt;=$B$8*12,$B$6,"")</f>
        <v/>
      </c>
      <c r="C195" s="10">
        <f>IF(A195&lt;=$B$8*12,C194+B195,"")</f>
        <v/>
      </c>
      <c r="D195" s="10">
        <f>IF(A195&lt;=$B$8*12,(D194+B195)*(1+$B$9),"")</f>
        <v/>
      </c>
      <c r="E195" s="10">
        <f>IF(A195&lt;=$B$8*12,D195-$B$6-IFERROR(D194,$B$7),"")</f>
        <v/>
      </c>
      <c r="F195" s="10">
        <f>IF(A195&lt;=$B$8*12,D195*$B$9,"")</f>
        <v/>
      </c>
    </row>
    <row r="196">
      <c r="A196" s="9" t="n">
        <v>173</v>
      </c>
      <c r="B196" s="10">
        <f>IF(A196&lt;=$B$8*12,$B$6,"")</f>
        <v/>
      </c>
      <c r="C196" s="10">
        <f>IF(A196&lt;=$B$8*12,C195+B196,"")</f>
        <v/>
      </c>
      <c r="D196" s="10">
        <f>IF(A196&lt;=$B$8*12,(D195+B196)*(1+$B$9),"")</f>
        <v/>
      </c>
      <c r="E196" s="10">
        <f>IF(A196&lt;=$B$8*12,D196-$B$6-IFERROR(D195,$B$7),"")</f>
        <v/>
      </c>
      <c r="F196" s="10">
        <f>IF(A196&lt;=$B$8*12,D196*$B$9,"")</f>
        <v/>
      </c>
    </row>
    <row r="197">
      <c r="A197" s="9" t="n">
        <v>174</v>
      </c>
      <c r="B197" s="10">
        <f>IF(A197&lt;=$B$8*12,$B$6,"")</f>
        <v/>
      </c>
      <c r="C197" s="10">
        <f>IF(A197&lt;=$B$8*12,C196+B197,"")</f>
        <v/>
      </c>
      <c r="D197" s="10">
        <f>IF(A197&lt;=$B$8*12,(D196+B197)*(1+$B$9),"")</f>
        <v/>
      </c>
      <c r="E197" s="10">
        <f>IF(A197&lt;=$B$8*12,D197-$B$6-IFERROR(D196,$B$7),"")</f>
        <v/>
      </c>
      <c r="F197" s="10">
        <f>IF(A197&lt;=$B$8*12,D197*$B$9,"")</f>
        <v/>
      </c>
    </row>
    <row r="198">
      <c r="A198" s="9" t="n">
        <v>175</v>
      </c>
      <c r="B198" s="10">
        <f>IF(A198&lt;=$B$8*12,$B$6,"")</f>
        <v/>
      </c>
      <c r="C198" s="10">
        <f>IF(A198&lt;=$B$8*12,C197+B198,"")</f>
        <v/>
      </c>
      <c r="D198" s="10">
        <f>IF(A198&lt;=$B$8*12,(D197+B198)*(1+$B$9),"")</f>
        <v/>
      </c>
      <c r="E198" s="10">
        <f>IF(A198&lt;=$B$8*12,D198-$B$6-IFERROR(D197,$B$7),"")</f>
        <v/>
      </c>
      <c r="F198" s="10">
        <f>IF(A198&lt;=$B$8*12,D198*$B$9,"")</f>
        <v/>
      </c>
    </row>
    <row r="199">
      <c r="A199" s="9" t="n">
        <v>176</v>
      </c>
      <c r="B199" s="10">
        <f>IF(A199&lt;=$B$8*12,$B$6,"")</f>
        <v/>
      </c>
      <c r="C199" s="10">
        <f>IF(A199&lt;=$B$8*12,C198+B199,"")</f>
        <v/>
      </c>
      <c r="D199" s="10">
        <f>IF(A199&lt;=$B$8*12,(D198+B199)*(1+$B$9),"")</f>
        <v/>
      </c>
      <c r="E199" s="10">
        <f>IF(A199&lt;=$B$8*12,D199-$B$6-IFERROR(D198,$B$7),"")</f>
        <v/>
      </c>
      <c r="F199" s="10">
        <f>IF(A199&lt;=$B$8*12,D199*$B$9,"")</f>
        <v/>
      </c>
    </row>
    <row r="200">
      <c r="A200" s="9" t="n">
        <v>177</v>
      </c>
      <c r="B200" s="10">
        <f>IF(A200&lt;=$B$8*12,$B$6,"")</f>
        <v/>
      </c>
      <c r="C200" s="10">
        <f>IF(A200&lt;=$B$8*12,C199+B200,"")</f>
        <v/>
      </c>
      <c r="D200" s="10">
        <f>IF(A200&lt;=$B$8*12,(D199+B200)*(1+$B$9),"")</f>
        <v/>
      </c>
      <c r="E200" s="10">
        <f>IF(A200&lt;=$B$8*12,D200-$B$6-IFERROR(D199,$B$7),"")</f>
        <v/>
      </c>
      <c r="F200" s="10">
        <f>IF(A200&lt;=$B$8*12,D200*$B$9,"")</f>
        <v/>
      </c>
    </row>
    <row r="201">
      <c r="A201" s="9" t="n">
        <v>178</v>
      </c>
      <c r="B201" s="10">
        <f>IF(A201&lt;=$B$8*12,$B$6,"")</f>
        <v/>
      </c>
      <c r="C201" s="10">
        <f>IF(A201&lt;=$B$8*12,C200+B201,"")</f>
        <v/>
      </c>
      <c r="D201" s="10">
        <f>IF(A201&lt;=$B$8*12,(D200+B201)*(1+$B$9),"")</f>
        <v/>
      </c>
      <c r="E201" s="10">
        <f>IF(A201&lt;=$B$8*12,D201-$B$6-IFERROR(D200,$B$7),"")</f>
        <v/>
      </c>
      <c r="F201" s="10">
        <f>IF(A201&lt;=$B$8*12,D201*$B$9,"")</f>
        <v/>
      </c>
    </row>
    <row r="202">
      <c r="A202" s="9" t="n">
        <v>179</v>
      </c>
      <c r="B202" s="10">
        <f>IF(A202&lt;=$B$8*12,$B$6,"")</f>
        <v/>
      </c>
      <c r="C202" s="10">
        <f>IF(A202&lt;=$B$8*12,C201+B202,"")</f>
        <v/>
      </c>
      <c r="D202" s="10">
        <f>IF(A202&lt;=$B$8*12,(D201+B202)*(1+$B$9),"")</f>
        <v/>
      </c>
      <c r="E202" s="10">
        <f>IF(A202&lt;=$B$8*12,D202-$B$6-IFERROR(D201,$B$7),"")</f>
        <v/>
      </c>
      <c r="F202" s="10">
        <f>IF(A202&lt;=$B$8*12,D202*$B$9,"")</f>
        <v/>
      </c>
    </row>
    <row r="203">
      <c r="A203" s="9" t="n">
        <v>180</v>
      </c>
      <c r="B203" s="10">
        <f>IF(A203&lt;=$B$8*12,$B$6,"")</f>
        <v/>
      </c>
      <c r="C203" s="10">
        <f>IF(A203&lt;=$B$8*12,C202+B203,"")</f>
        <v/>
      </c>
      <c r="D203" s="10">
        <f>IF(A203&lt;=$B$8*12,(D202+B203)*(1+$B$9),"")</f>
        <v/>
      </c>
      <c r="E203" s="10">
        <f>IF(A203&lt;=$B$8*12,D203-$B$6-IFERROR(D202,$B$7),"")</f>
        <v/>
      </c>
      <c r="F203" s="10">
        <f>IF(A203&lt;=$B$8*12,D203*$B$9,"")</f>
        <v/>
      </c>
    </row>
    <row r="204">
      <c r="A204" s="9" t="n">
        <v>181</v>
      </c>
      <c r="B204" s="10">
        <f>IF(A204&lt;=$B$8*12,$B$6,"")</f>
        <v/>
      </c>
      <c r="C204" s="10">
        <f>IF(A204&lt;=$B$8*12,C203+B204,"")</f>
        <v/>
      </c>
      <c r="D204" s="10">
        <f>IF(A204&lt;=$B$8*12,(D203+B204)*(1+$B$9),"")</f>
        <v/>
      </c>
      <c r="E204" s="10">
        <f>IF(A204&lt;=$B$8*12,D204-$B$6-IFERROR(D203,$B$7),"")</f>
        <v/>
      </c>
      <c r="F204" s="10">
        <f>IF(A204&lt;=$B$8*12,D204*$B$9,"")</f>
        <v/>
      </c>
    </row>
    <row r="205">
      <c r="A205" s="9" t="n">
        <v>182</v>
      </c>
      <c r="B205" s="10">
        <f>IF(A205&lt;=$B$8*12,$B$6,"")</f>
        <v/>
      </c>
      <c r="C205" s="10">
        <f>IF(A205&lt;=$B$8*12,C204+B205,"")</f>
        <v/>
      </c>
      <c r="D205" s="10">
        <f>IF(A205&lt;=$B$8*12,(D204+B205)*(1+$B$9),"")</f>
        <v/>
      </c>
      <c r="E205" s="10">
        <f>IF(A205&lt;=$B$8*12,D205-$B$6-IFERROR(D204,$B$7),"")</f>
        <v/>
      </c>
      <c r="F205" s="10">
        <f>IF(A205&lt;=$B$8*12,D205*$B$9,"")</f>
        <v/>
      </c>
    </row>
    <row r="206">
      <c r="A206" s="9" t="n">
        <v>183</v>
      </c>
      <c r="B206" s="10">
        <f>IF(A206&lt;=$B$8*12,$B$6,"")</f>
        <v/>
      </c>
      <c r="C206" s="10">
        <f>IF(A206&lt;=$B$8*12,C205+B206,"")</f>
        <v/>
      </c>
      <c r="D206" s="10">
        <f>IF(A206&lt;=$B$8*12,(D205+B206)*(1+$B$9),"")</f>
        <v/>
      </c>
      <c r="E206" s="10">
        <f>IF(A206&lt;=$B$8*12,D206-$B$6-IFERROR(D205,$B$7),"")</f>
        <v/>
      </c>
      <c r="F206" s="10">
        <f>IF(A206&lt;=$B$8*12,D206*$B$9,"")</f>
        <v/>
      </c>
    </row>
    <row r="207">
      <c r="A207" s="9" t="n">
        <v>184</v>
      </c>
      <c r="B207" s="10">
        <f>IF(A207&lt;=$B$8*12,$B$6,"")</f>
        <v/>
      </c>
      <c r="C207" s="10">
        <f>IF(A207&lt;=$B$8*12,C206+B207,"")</f>
        <v/>
      </c>
      <c r="D207" s="10">
        <f>IF(A207&lt;=$B$8*12,(D206+B207)*(1+$B$9),"")</f>
        <v/>
      </c>
      <c r="E207" s="10">
        <f>IF(A207&lt;=$B$8*12,D207-$B$6-IFERROR(D206,$B$7),"")</f>
        <v/>
      </c>
      <c r="F207" s="10">
        <f>IF(A207&lt;=$B$8*12,D207*$B$9,"")</f>
        <v/>
      </c>
    </row>
    <row r="208">
      <c r="A208" s="9" t="n">
        <v>185</v>
      </c>
      <c r="B208" s="10">
        <f>IF(A208&lt;=$B$8*12,$B$6,"")</f>
        <v/>
      </c>
      <c r="C208" s="10">
        <f>IF(A208&lt;=$B$8*12,C207+B208,"")</f>
        <v/>
      </c>
      <c r="D208" s="10">
        <f>IF(A208&lt;=$B$8*12,(D207+B208)*(1+$B$9),"")</f>
        <v/>
      </c>
      <c r="E208" s="10">
        <f>IF(A208&lt;=$B$8*12,D208-$B$6-IFERROR(D207,$B$7),"")</f>
        <v/>
      </c>
      <c r="F208" s="10">
        <f>IF(A208&lt;=$B$8*12,D208*$B$9,"")</f>
        <v/>
      </c>
    </row>
    <row r="209">
      <c r="A209" s="9" t="n">
        <v>186</v>
      </c>
      <c r="B209" s="10">
        <f>IF(A209&lt;=$B$8*12,$B$6,"")</f>
        <v/>
      </c>
      <c r="C209" s="10">
        <f>IF(A209&lt;=$B$8*12,C208+B209,"")</f>
        <v/>
      </c>
      <c r="D209" s="10">
        <f>IF(A209&lt;=$B$8*12,(D208+B209)*(1+$B$9),"")</f>
        <v/>
      </c>
      <c r="E209" s="10">
        <f>IF(A209&lt;=$B$8*12,D209-$B$6-IFERROR(D208,$B$7),"")</f>
        <v/>
      </c>
      <c r="F209" s="10">
        <f>IF(A209&lt;=$B$8*12,D209*$B$9,"")</f>
        <v/>
      </c>
    </row>
    <row r="210">
      <c r="A210" s="9" t="n">
        <v>187</v>
      </c>
      <c r="B210" s="10">
        <f>IF(A210&lt;=$B$8*12,$B$6,"")</f>
        <v/>
      </c>
      <c r="C210" s="10">
        <f>IF(A210&lt;=$B$8*12,C209+B210,"")</f>
        <v/>
      </c>
      <c r="D210" s="10">
        <f>IF(A210&lt;=$B$8*12,(D209+B210)*(1+$B$9),"")</f>
        <v/>
      </c>
      <c r="E210" s="10">
        <f>IF(A210&lt;=$B$8*12,D210-$B$6-IFERROR(D209,$B$7),"")</f>
        <v/>
      </c>
      <c r="F210" s="10">
        <f>IF(A210&lt;=$B$8*12,D210*$B$9,"")</f>
        <v/>
      </c>
    </row>
    <row r="211">
      <c r="A211" s="9" t="n">
        <v>188</v>
      </c>
      <c r="B211" s="10">
        <f>IF(A211&lt;=$B$8*12,$B$6,"")</f>
        <v/>
      </c>
      <c r="C211" s="10">
        <f>IF(A211&lt;=$B$8*12,C210+B211,"")</f>
        <v/>
      </c>
      <c r="D211" s="10">
        <f>IF(A211&lt;=$B$8*12,(D210+B211)*(1+$B$9),"")</f>
        <v/>
      </c>
      <c r="E211" s="10">
        <f>IF(A211&lt;=$B$8*12,D211-$B$6-IFERROR(D210,$B$7),"")</f>
        <v/>
      </c>
      <c r="F211" s="10">
        <f>IF(A211&lt;=$B$8*12,D211*$B$9,"")</f>
        <v/>
      </c>
    </row>
    <row r="212">
      <c r="A212" s="9" t="n">
        <v>189</v>
      </c>
      <c r="B212" s="10">
        <f>IF(A212&lt;=$B$8*12,$B$6,"")</f>
        <v/>
      </c>
      <c r="C212" s="10">
        <f>IF(A212&lt;=$B$8*12,C211+B212,"")</f>
        <v/>
      </c>
      <c r="D212" s="10">
        <f>IF(A212&lt;=$B$8*12,(D211+B212)*(1+$B$9),"")</f>
        <v/>
      </c>
      <c r="E212" s="10">
        <f>IF(A212&lt;=$B$8*12,D212-$B$6-IFERROR(D211,$B$7),"")</f>
        <v/>
      </c>
      <c r="F212" s="10">
        <f>IF(A212&lt;=$B$8*12,D212*$B$9,"")</f>
        <v/>
      </c>
    </row>
    <row r="213">
      <c r="A213" s="9" t="n">
        <v>190</v>
      </c>
      <c r="B213" s="10">
        <f>IF(A213&lt;=$B$8*12,$B$6,"")</f>
        <v/>
      </c>
      <c r="C213" s="10">
        <f>IF(A213&lt;=$B$8*12,C212+B213,"")</f>
        <v/>
      </c>
      <c r="D213" s="10">
        <f>IF(A213&lt;=$B$8*12,(D212+B213)*(1+$B$9),"")</f>
        <v/>
      </c>
      <c r="E213" s="10">
        <f>IF(A213&lt;=$B$8*12,D213-$B$6-IFERROR(D212,$B$7),"")</f>
        <v/>
      </c>
      <c r="F213" s="10">
        <f>IF(A213&lt;=$B$8*12,D213*$B$9,"")</f>
        <v/>
      </c>
    </row>
    <row r="214">
      <c r="A214" s="9" t="n">
        <v>191</v>
      </c>
      <c r="B214" s="10">
        <f>IF(A214&lt;=$B$8*12,$B$6,"")</f>
        <v/>
      </c>
      <c r="C214" s="10">
        <f>IF(A214&lt;=$B$8*12,C213+B214,"")</f>
        <v/>
      </c>
      <c r="D214" s="10">
        <f>IF(A214&lt;=$B$8*12,(D213+B214)*(1+$B$9),"")</f>
        <v/>
      </c>
      <c r="E214" s="10">
        <f>IF(A214&lt;=$B$8*12,D214-$B$6-IFERROR(D213,$B$7),"")</f>
        <v/>
      </c>
      <c r="F214" s="10">
        <f>IF(A214&lt;=$B$8*12,D214*$B$9,"")</f>
        <v/>
      </c>
    </row>
    <row r="215">
      <c r="A215" s="9" t="n">
        <v>192</v>
      </c>
      <c r="B215" s="10">
        <f>IF(A215&lt;=$B$8*12,$B$6,"")</f>
        <v/>
      </c>
      <c r="C215" s="10">
        <f>IF(A215&lt;=$B$8*12,C214+B215,"")</f>
        <v/>
      </c>
      <c r="D215" s="10">
        <f>IF(A215&lt;=$B$8*12,(D214+B215)*(1+$B$9),"")</f>
        <v/>
      </c>
      <c r="E215" s="10">
        <f>IF(A215&lt;=$B$8*12,D215-$B$6-IFERROR(D214,$B$7),"")</f>
        <v/>
      </c>
      <c r="F215" s="10">
        <f>IF(A215&lt;=$B$8*12,D215*$B$9,"")</f>
        <v/>
      </c>
    </row>
    <row r="216">
      <c r="A216" s="9" t="n">
        <v>193</v>
      </c>
      <c r="B216" s="10">
        <f>IF(A216&lt;=$B$8*12,$B$6,"")</f>
        <v/>
      </c>
      <c r="C216" s="10">
        <f>IF(A216&lt;=$B$8*12,C215+B216,"")</f>
        <v/>
      </c>
      <c r="D216" s="10">
        <f>IF(A216&lt;=$B$8*12,(D215+B216)*(1+$B$9),"")</f>
        <v/>
      </c>
      <c r="E216" s="10">
        <f>IF(A216&lt;=$B$8*12,D216-$B$6-IFERROR(D215,$B$7),"")</f>
        <v/>
      </c>
      <c r="F216" s="10">
        <f>IF(A216&lt;=$B$8*12,D216*$B$9,"")</f>
        <v/>
      </c>
    </row>
    <row r="217">
      <c r="A217" s="9" t="n">
        <v>194</v>
      </c>
      <c r="B217" s="10">
        <f>IF(A217&lt;=$B$8*12,$B$6,"")</f>
        <v/>
      </c>
      <c r="C217" s="10">
        <f>IF(A217&lt;=$B$8*12,C216+B217,"")</f>
        <v/>
      </c>
      <c r="D217" s="10">
        <f>IF(A217&lt;=$B$8*12,(D216+B217)*(1+$B$9),"")</f>
        <v/>
      </c>
      <c r="E217" s="10">
        <f>IF(A217&lt;=$B$8*12,D217-$B$6-IFERROR(D216,$B$7),"")</f>
        <v/>
      </c>
      <c r="F217" s="10">
        <f>IF(A217&lt;=$B$8*12,D217*$B$9,"")</f>
        <v/>
      </c>
    </row>
    <row r="218">
      <c r="A218" s="9" t="n">
        <v>195</v>
      </c>
      <c r="B218" s="10">
        <f>IF(A218&lt;=$B$8*12,$B$6,"")</f>
        <v/>
      </c>
      <c r="C218" s="10">
        <f>IF(A218&lt;=$B$8*12,C217+B218,"")</f>
        <v/>
      </c>
      <c r="D218" s="10">
        <f>IF(A218&lt;=$B$8*12,(D217+B218)*(1+$B$9),"")</f>
        <v/>
      </c>
      <c r="E218" s="10">
        <f>IF(A218&lt;=$B$8*12,D218-$B$6-IFERROR(D217,$B$7),"")</f>
        <v/>
      </c>
      <c r="F218" s="10">
        <f>IF(A218&lt;=$B$8*12,D218*$B$9,"")</f>
        <v/>
      </c>
    </row>
    <row r="219">
      <c r="A219" s="9" t="n">
        <v>196</v>
      </c>
      <c r="B219" s="10">
        <f>IF(A219&lt;=$B$8*12,$B$6,"")</f>
        <v/>
      </c>
      <c r="C219" s="10">
        <f>IF(A219&lt;=$B$8*12,C218+B219,"")</f>
        <v/>
      </c>
      <c r="D219" s="10">
        <f>IF(A219&lt;=$B$8*12,(D218+B219)*(1+$B$9),"")</f>
        <v/>
      </c>
      <c r="E219" s="10">
        <f>IF(A219&lt;=$B$8*12,D219-$B$6-IFERROR(D218,$B$7),"")</f>
        <v/>
      </c>
      <c r="F219" s="10">
        <f>IF(A219&lt;=$B$8*12,D219*$B$9,"")</f>
        <v/>
      </c>
    </row>
    <row r="220">
      <c r="A220" s="9" t="n">
        <v>197</v>
      </c>
      <c r="B220" s="10">
        <f>IF(A220&lt;=$B$8*12,$B$6,"")</f>
        <v/>
      </c>
      <c r="C220" s="10">
        <f>IF(A220&lt;=$B$8*12,C219+B220,"")</f>
        <v/>
      </c>
      <c r="D220" s="10">
        <f>IF(A220&lt;=$B$8*12,(D219+B220)*(1+$B$9),"")</f>
        <v/>
      </c>
      <c r="E220" s="10">
        <f>IF(A220&lt;=$B$8*12,D220-$B$6-IFERROR(D219,$B$7),"")</f>
        <v/>
      </c>
      <c r="F220" s="10">
        <f>IF(A220&lt;=$B$8*12,D220*$B$9,"")</f>
        <v/>
      </c>
    </row>
    <row r="221">
      <c r="A221" s="9" t="n">
        <v>198</v>
      </c>
      <c r="B221" s="10">
        <f>IF(A221&lt;=$B$8*12,$B$6,"")</f>
        <v/>
      </c>
      <c r="C221" s="10">
        <f>IF(A221&lt;=$B$8*12,C220+B221,"")</f>
        <v/>
      </c>
      <c r="D221" s="10">
        <f>IF(A221&lt;=$B$8*12,(D220+B221)*(1+$B$9),"")</f>
        <v/>
      </c>
      <c r="E221" s="10">
        <f>IF(A221&lt;=$B$8*12,D221-$B$6-IFERROR(D220,$B$7),"")</f>
        <v/>
      </c>
      <c r="F221" s="10">
        <f>IF(A221&lt;=$B$8*12,D221*$B$9,"")</f>
        <v/>
      </c>
    </row>
    <row r="222">
      <c r="A222" s="9" t="n">
        <v>199</v>
      </c>
      <c r="B222" s="10">
        <f>IF(A222&lt;=$B$8*12,$B$6,"")</f>
        <v/>
      </c>
      <c r="C222" s="10">
        <f>IF(A222&lt;=$B$8*12,C221+B222,"")</f>
        <v/>
      </c>
      <c r="D222" s="10">
        <f>IF(A222&lt;=$B$8*12,(D221+B222)*(1+$B$9),"")</f>
        <v/>
      </c>
      <c r="E222" s="10">
        <f>IF(A222&lt;=$B$8*12,D222-$B$6-IFERROR(D221,$B$7),"")</f>
        <v/>
      </c>
      <c r="F222" s="10">
        <f>IF(A222&lt;=$B$8*12,D222*$B$9,"")</f>
        <v/>
      </c>
    </row>
    <row r="223">
      <c r="A223" s="9" t="n">
        <v>200</v>
      </c>
      <c r="B223" s="10">
        <f>IF(A223&lt;=$B$8*12,$B$6,"")</f>
        <v/>
      </c>
      <c r="C223" s="10">
        <f>IF(A223&lt;=$B$8*12,C222+B223,"")</f>
        <v/>
      </c>
      <c r="D223" s="10">
        <f>IF(A223&lt;=$B$8*12,(D222+B223)*(1+$B$9),"")</f>
        <v/>
      </c>
      <c r="E223" s="10">
        <f>IF(A223&lt;=$B$8*12,D223-$B$6-IFERROR(D222,$B$7),"")</f>
        <v/>
      </c>
      <c r="F223" s="10">
        <f>IF(A223&lt;=$B$8*12,D223*$B$9,"")</f>
        <v/>
      </c>
    </row>
    <row r="224">
      <c r="A224" s="9" t="n">
        <v>201</v>
      </c>
      <c r="B224" s="10">
        <f>IF(A224&lt;=$B$8*12,$B$6,"")</f>
        <v/>
      </c>
      <c r="C224" s="10">
        <f>IF(A224&lt;=$B$8*12,C223+B224,"")</f>
        <v/>
      </c>
      <c r="D224" s="10">
        <f>IF(A224&lt;=$B$8*12,(D223+B224)*(1+$B$9),"")</f>
        <v/>
      </c>
      <c r="E224" s="10">
        <f>IF(A224&lt;=$B$8*12,D224-$B$6-IFERROR(D223,$B$7),"")</f>
        <v/>
      </c>
      <c r="F224" s="10">
        <f>IF(A224&lt;=$B$8*12,D224*$B$9,"")</f>
        <v/>
      </c>
    </row>
    <row r="225">
      <c r="A225" s="9" t="n">
        <v>202</v>
      </c>
      <c r="B225" s="10">
        <f>IF(A225&lt;=$B$8*12,$B$6,"")</f>
        <v/>
      </c>
      <c r="C225" s="10">
        <f>IF(A225&lt;=$B$8*12,C224+B225,"")</f>
        <v/>
      </c>
      <c r="D225" s="10">
        <f>IF(A225&lt;=$B$8*12,(D224+B225)*(1+$B$9),"")</f>
        <v/>
      </c>
      <c r="E225" s="10">
        <f>IF(A225&lt;=$B$8*12,D225-$B$6-IFERROR(D224,$B$7),"")</f>
        <v/>
      </c>
      <c r="F225" s="10">
        <f>IF(A225&lt;=$B$8*12,D225*$B$9,"")</f>
        <v/>
      </c>
    </row>
    <row r="226">
      <c r="A226" s="9" t="n">
        <v>203</v>
      </c>
      <c r="B226" s="10">
        <f>IF(A226&lt;=$B$8*12,$B$6,"")</f>
        <v/>
      </c>
      <c r="C226" s="10">
        <f>IF(A226&lt;=$B$8*12,C225+B226,"")</f>
        <v/>
      </c>
      <c r="D226" s="10">
        <f>IF(A226&lt;=$B$8*12,(D225+B226)*(1+$B$9),"")</f>
        <v/>
      </c>
      <c r="E226" s="10">
        <f>IF(A226&lt;=$B$8*12,D226-$B$6-IFERROR(D225,$B$7),"")</f>
        <v/>
      </c>
      <c r="F226" s="10">
        <f>IF(A226&lt;=$B$8*12,D226*$B$9,"")</f>
        <v/>
      </c>
    </row>
    <row r="227">
      <c r="A227" s="9" t="n">
        <v>204</v>
      </c>
      <c r="B227" s="10">
        <f>IF(A227&lt;=$B$8*12,$B$6,"")</f>
        <v/>
      </c>
      <c r="C227" s="10">
        <f>IF(A227&lt;=$B$8*12,C226+B227,"")</f>
        <v/>
      </c>
      <c r="D227" s="10">
        <f>IF(A227&lt;=$B$8*12,(D226+B227)*(1+$B$9),"")</f>
        <v/>
      </c>
      <c r="E227" s="10">
        <f>IF(A227&lt;=$B$8*12,D227-$B$6-IFERROR(D226,$B$7),"")</f>
        <v/>
      </c>
      <c r="F227" s="10">
        <f>IF(A227&lt;=$B$8*12,D227*$B$9,"")</f>
        <v/>
      </c>
    </row>
    <row r="228">
      <c r="A228" s="9" t="n">
        <v>205</v>
      </c>
      <c r="B228" s="10">
        <f>IF(A228&lt;=$B$8*12,$B$6,"")</f>
        <v/>
      </c>
      <c r="C228" s="10">
        <f>IF(A228&lt;=$B$8*12,C227+B228,"")</f>
        <v/>
      </c>
      <c r="D228" s="10">
        <f>IF(A228&lt;=$B$8*12,(D227+B228)*(1+$B$9),"")</f>
        <v/>
      </c>
      <c r="E228" s="10">
        <f>IF(A228&lt;=$B$8*12,D228-$B$6-IFERROR(D227,$B$7),"")</f>
        <v/>
      </c>
      <c r="F228" s="10">
        <f>IF(A228&lt;=$B$8*12,D228*$B$9,"")</f>
        <v/>
      </c>
    </row>
    <row r="229">
      <c r="A229" s="9" t="n">
        <v>206</v>
      </c>
      <c r="B229" s="10">
        <f>IF(A229&lt;=$B$8*12,$B$6,"")</f>
        <v/>
      </c>
      <c r="C229" s="10">
        <f>IF(A229&lt;=$B$8*12,C228+B229,"")</f>
        <v/>
      </c>
      <c r="D229" s="10">
        <f>IF(A229&lt;=$B$8*12,(D228+B229)*(1+$B$9),"")</f>
        <v/>
      </c>
      <c r="E229" s="10">
        <f>IF(A229&lt;=$B$8*12,D229-$B$6-IFERROR(D228,$B$7),"")</f>
        <v/>
      </c>
      <c r="F229" s="10">
        <f>IF(A229&lt;=$B$8*12,D229*$B$9,"")</f>
        <v/>
      </c>
    </row>
    <row r="230">
      <c r="A230" s="9" t="n">
        <v>207</v>
      </c>
      <c r="B230" s="10">
        <f>IF(A230&lt;=$B$8*12,$B$6,"")</f>
        <v/>
      </c>
      <c r="C230" s="10">
        <f>IF(A230&lt;=$B$8*12,C229+B230,"")</f>
        <v/>
      </c>
      <c r="D230" s="10">
        <f>IF(A230&lt;=$B$8*12,(D229+B230)*(1+$B$9),"")</f>
        <v/>
      </c>
      <c r="E230" s="10">
        <f>IF(A230&lt;=$B$8*12,D230-$B$6-IFERROR(D229,$B$7),"")</f>
        <v/>
      </c>
      <c r="F230" s="10">
        <f>IF(A230&lt;=$B$8*12,D230*$B$9,"")</f>
        <v/>
      </c>
    </row>
    <row r="231">
      <c r="A231" s="9" t="n">
        <v>208</v>
      </c>
      <c r="B231" s="10">
        <f>IF(A231&lt;=$B$8*12,$B$6,"")</f>
        <v/>
      </c>
      <c r="C231" s="10">
        <f>IF(A231&lt;=$B$8*12,C230+B231,"")</f>
        <v/>
      </c>
      <c r="D231" s="10">
        <f>IF(A231&lt;=$B$8*12,(D230+B231)*(1+$B$9),"")</f>
        <v/>
      </c>
      <c r="E231" s="10">
        <f>IF(A231&lt;=$B$8*12,D231-$B$6-IFERROR(D230,$B$7),"")</f>
        <v/>
      </c>
      <c r="F231" s="10">
        <f>IF(A231&lt;=$B$8*12,D231*$B$9,"")</f>
        <v/>
      </c>
    </row>
    <row r="232">
      <c r="A232" s="9" t="n">
        <v>209</v>
      </c>
      <c r="B232" s="10">
        <f>IF(A232&lt;=$B$8*12,$B$6,"")</f>
        <v/>
      </c>
      <c r="C232" s="10">
        <f>IF(A232&lt;=$B$8*12,C231+B232,"")</f>
        <v/>
      </c>
      <c r="D232" s="10">
        <f>IF(A232&lt;=$B$8*12,(D231+B232)*(1+$B$9),"")</f>
        <v/>
      </c>
      <c r="E232" s="10">
        <f>IF(A232&lt;=$B$8*12,D232-$B$6-IFERROR(D231,$B$7),"")</f>
        <v/>
      </c>
      <c r="F232" s="10">
        <f>IF(A232&lt;=$B$8*12,D232*$B$9,"")</f>
        <v/>
      </c>
    </row>
    <row r="233">
      <c r="A233" s="9" t="n">
        <v>210</v>
      </c>
      <c r="B233" s="10">
        <f>IF(A233&lt;=$B$8*12,$B$6,"")</f>
        <v/>
      </c>
      <c r="C233" s="10">
        <f>IF(A233&lt;=$B$8*12,C232+B233,"")</f>
        <v/>
      </c>
      <c r="D233" s="10">
        <f>IF(A233&lt;=$B$8*12,(D232+B233)*(1+$B$9),"")</f>
        <v/>
      </c>
      <c r="E233" s="10">
        <f>IF(A233&lt;=$B$8*12,D233-$B$6-IFERROR(D232,$B$7),"")</f>
        <v/>
      </c>
      <c r="F233" s="10">
        <f>IF(A233&lt;=$B$8*12,D233*$B$9,"")</f>
        <v/>
      </c>
    </row>
    <row r="234">
      <c r="A234" s="9" t="n">
        <v>211</v>
      </c>
      <c r="B234" s="10">
        <f>IF(A234&lt;=$B$8*12,$B$6,"")</f>
        <v/>
      </c>
      <c r="C234" s="10">
        <f>IF(A234&lt;=$B$8*12,C233+B234,"")</f>
        <v/>
      </c>
      <c r="D234" s="10">
        <f>IF(A234&lt;=$B$8*12,(D233+B234)*(1+$B$9),"")</f>
        <v/>
      </c>
      <c r="E234" s="10">
        <f>IF(A234&lt;=$B$8*12,D234-$B$6-IFERROR(D233,$B$7),"")</f>
        <v/>
      </c>
      <c r="F234" s="10">
        <f>IF(A234&lt;=$B$8*12,D234*$B$9,"")</f>
        <v/>
      </c>
    </row>
    <row r="235">
      <c r="A235" s="9" t="n">
        <v>212</v>
      </c>
      <c r="B235" s="10">
        <f>IF(A235&lt;=$B$8*12,$B$6,"")</f>
        <v/>
      </c>
      <c r="C235" s="10">
        <f>IF(A235&lt;=$B$8*12,C234+B235,"")</f>
        <v/>
      </c>
      <c r="D235" s="10">
        <f>IF(A235&lt;=$B$8*12,(D234+B235)*(1+$B$9),"")</f>
        <v/>
      </c>
      <c r="E235" s="10">
        <f>IF(A235&lt;=$B$8*12,D235-$B$6-IFERROR(D234,$B$7),"")</f>
        <v/>
      </c>
      <c r="F235" s="10">
        <f>IF(A235&lt;=$B$8*12,D235*$B$9,"")</f>
        <v/>
      </c>
    </row>
    <row r="236">
      <c r="A236" s="9" t="n">
        <v>213</v>
      </c>
      <c r="B236" s="10">
        <f>IF(A236&lt;=$B$8*12,$B$6,"")</f>
        <v/>
      </c>
      <c r="C236" s="10">
        <f>IF(A236&lt;=$B$8*12,C235+B236,"")</f>
        <v/>
      </c>
      <c r="D236" s="10">
        <f>IF(A236&lt;=$B$8*12,(D235+B236)*(1+$B$9),"")</f>
        <v/>
      </c>
      <c r="E236" s="10">
        <f>IF(A236&lt;=$B$8*12,D236-$B$6-IFERROR(D235,$B$7),"")</f>
        <v/>
      </c>
      <c r="F236" s="10">
        <f>IF(A236&lt;=$B$8*12,D236*$B$9,"")</f>
        <v/>
      </c>
    </row>
    <row r="237">
      <c r="A237" s="9" t="n">
        <v>214</v>
      </c>
      <c r="B237" s="10">
        <f>IF(A237&lt;=$B$8*12,$B$6,"")</f>
        <v/>
      </c>
      <c r="C237" s="10">
        <f>IF(A237&lt;=$B$8*12,C236+B237,"")</f>
        <v/>
      </c>
      <c r="D237" s="10">
        <f>IF(A237&lt;=$B$8*12,(D236+B237)*(1+$B$9),"")</f>
        <v/>
      </c>
      <c r="E237" s="10">
        <f>IF(A237&lt;=$B$8*12,D237-$B$6-IFERROR(D236,$B$7),"")</f>
        <v/>
      </c>
      <c r="F237" s="10">
        <f>IF(A237&lt;=$B$8*12,D237*$B$9,"")</f>
        <v/>
      </c>
    </row>
    <row r="238">
      <c r="A238" s="9" t="n">
        <v>215</v>
      </c>
      <c r="B238" s="10">
        <f>IF(A238&lt;=$B$8*12,$B$6,"")</f>
        <v/>
      </c>
      <c r="C238" s="10">
        <f>IF(A238&lt;=$B$8*12,C237+B238,"")</f>
        <v/>
      </c>
      <c r="D238" s="10">
        <f>IF(A238&lt;=$B$8*12,(D237+B238)*(1+$B$9),"")</f>
        <v/>
      </c>
      <c r="E238" s="10">
        <f>IF(A238&lt;=$B$8*12,D238-$B$6-IFERROR(D237,$B$7),"")</f>
        <v/>
      </c>
      <c r="F238" s="10">
        <f>IF(A238&lt;=$B$8*12,D238*$B$9,"")</f>
        <v/>
      </c>
    </row>
    <row r="239">
      <c r="A239" s="9" t="n">
        <v>216</v>
      </c>
      <c r="B239" s="10">
        <f>IF(A239&lt;=$B$8*12,$B$6,"")</f>
        <v/>
      </c>
      <c r="C239" s="10">
        <f>IF(A239&lt;=$B$8*12,C238+B239,"")</f>
        <v/>
      </c>
      <c r="D239" s="10">
        <f>IF(A239&lt;=$B$8*12,(D238+B239)*(1+$B$9),"")</f>
        <v/>
      </c>
      <c r="E239" s="10">
        <f>IF(A239&lt;=$B$8*12,D239-$B$6-IFERROR(D238,$B$7),"")</f>
        <v/>
      </c>
      <c r="F239" s="10">
        <f>IF(A239&lt;=$B$8*12,D239*$B$9,"")</f>
        <v/>
      </c>
    </row>
    <row r="240">
      <c r="A240" s="9" t="n">
        <v>217</v>
      </c>
      <c r="B240" s="10">
        <f>IF(A240&lt;=$B$8*12,$B$6,"")</f>
        <v/>
      </c>
      <c r="C240" s="10">
        <f>IF(A240&lt;=$B$8*12,C239+B240,"")</f>
        <v/>
      </c>
      <c r="D240" s="10">
        <f>IF(A240&lt;=$B$8*12,(D239+B240)*(1+$B$9),"")</f>
        <v/>
      </c>
      <c r="E240" s="10">
        <f>IF(A240&lt;=$B$8*12,D240-$B$6-IFERROR(D239,$B$7),"")</f>
        <v/>
      </c>
      <c r="F240" s="10">
        <f>IF(A240&lt;=$B$8*12,D240*$B$9,"")</f>
        <v/>
      </c>
    </row>
    <row r="241">
      <c r="A241" s="9" t="n">
        <v>218</v>
      </c>
      <c r="B241" s="10">
        <f>IF(A241&lt;=$B$8*12,$B$6,"")</f>
        <v/>
      </c>
      <c r="C241" s="10">
        <f>IF(A241&lt;=$B$8*12,C240+B241,"")</f>
        <v/>
      </c>
      <c r="D241" s="10">
        <f>IF(A241&lt;=$B$8*12,(D240+B241)*(1+$B$9),"")</f>
        <v/>
      </c>
      <c r="E241" s="10">
        <f>IF(A241&lt;=$B$8*12,D241-$B$6-IFERROR(D240,$B$7),"")</f>
        <v/>
      </c>
      <c r="F241" s="10">
        <f>IF(A241&lt;=$B$8*12,D241*$B$9,"")</f>
        <v/>
      </c>
    </row>
    <row r="242">
      <c r="A242" s="9" t="n">
        <v>219</v>
      </c>
      <c r="B242" s="10">
        <f>IF(A242&lt;=$B$8*12,$B$6,"")</f>
        <v/>
      </c>
      <c r="C242" s="10">
        <f>IF(A242&lt;=$B$8*12,C241+B242,"")</f>
        <v/>
      </c>
      <c r="D242" s="10">
        <f>IF(A242&lt;=$B$8*12,(D241+B242)*(1+$B$9),"")</f>
        <v/>
      </c>
      <c r="E242" s="10">
        <f>IF(A242&lt;=$B$8*12,D242-$B$6-IFERROR(D241,$B$7),"")</f>
        <v/>
      </c>
      <c r="F242" s="10">
        <f>IF(A242&lt;=$B$8*12,D242*$B$9,"")</f>
        <v/>
      </c>
    </row>
    <row r="243">
      <c r="A243" s="9" t="n">
        <v>220</v>
      </c>
      <c r="B243" s="10">
        <f>IF(A243&lt;=$B$8*12,$B$6,"")</f>
        <v/>
      </c>
      <c r="C243" s="10">
        <f>IF(A243&lt;=$B$8*12,C242+B243,"")</f>
        <v/>
      </c>
      <c r="D243" s="10">
        <f>IF(A243&lt;=$B$8*12,(D242+B243)*(1+$B$9),"")</f>
        <v/>
      </c>
      <c r="E243" s="10">
        <f>IF(A243&lt;=$B$8*12,D243-$B$6-IFERROR(D242,$B$7),"")</f>
        <v/>
      </c>
      <c r="F243" s="10">
        <f>IF(A243&lt;=$B$8*12,D243*$B$9,"")</f>
        <v/>
      </c>
    </row>
    <row r="244">
      <c r="A244" s="9" t="n">
        <v>221</v>
      </c>
      <c r="B244" s="10">
        <f>IF(A244&lt;=$B$8*12,$B$6,"")</f>
        <v/>
      </c>
      <c r="C244" s="10">
        <f>IF(A244&lt;=$B$8*12,C243+B244,"")</f>
        <v/>
      </c>
      <c r="D244" s="10">
        <f>IF(A244&lt;=$B$8*12,(D243+B244)*(1+$B$9),"")</f>
        <v/>
      </c>
      <c r="E244" s="10">
        <f>IF(A244&lt;=$B$8*12,D244-$B$6-IFERROR(D243,$B$7),"")</f>
        <v/>
      </c>
      <c r="F244" s="10">
        <f>IF(A244&lt;=$B$8*12,D244*$B$9,"")</f>
        <v/>
      </c>
    </row>
    <row r="245">
      <c r="A245" s="9" t="n">
        <v>222</v>
      </c>
      <c r="B245" s="10">
        <f>IF(A245&lt;=$B$8*12,$B$6,"")</f>
        <v/>
      </c>
      <c r="C245" s="10">
        <f>IF(A245&lt;=$B$8*12,C244+B245,"")</f>
        <v/>
      </c>
      <c r="D245" s="10">
        <f>IF(A245&lt;=$B$8*12,(D244+B245)*(1+$B$9),"")</f>
        <v/>
      </c>
      <c r="E245" s="10">
        <f>IF(A245&lt;=$B$8*12,D245-$B$6-IFERROR(D244,$B$7),"")</f>
        <v/>
      </c>
      <c r="F245" s="10">
        <f>IF(A245&lt;=$B$8*12,D245*$B$9,"")</f>
        <v/>
      </c>
    </row>
    <row r="246">
      <c r="A246" s="9" t="n">
        <v>223</v>
      </c>
      <c r="B246" s="10">
        <f>IF(A246&lt;=$B$8*12,$B$6,"")</f>
        <v/>
      </c>
      <c r="C246" s="10">
        <f>IF(A246&lt;=$B$8*12,C245+B246,"")</f>
        <v/>
      </c>
      <c r="D246" s="10">
        <f>IF(A246&lt;=$B$8*12,(D245+B246)*(1+$B$9),"")</f>
        <v/>
      </c>
      <c r="E246" s="10">
        <f>IF(A246&lt;=$B$8*12,D246-$B$6-IFERROR(D245,$B$7),"")</f>
        <v/>
      </c>
      <c r="F246" s="10">
        <f>IF(A246&lt;=$B$8*12,D246*$B$9,"")</f>
        <v/>
      </c>
    </row>
    <row r="247">
      <c r="A247" s="9" t="n">
        <v>224</v>
      </c>
      <c r="B247" s="10">
        <f>IF(A247&lt;=$B$8*12,$B$6,"")</f>
        <v/>
      </c>
      <c r="C247" s="10">
        <f>IF(A247&lt;=$B$8*12,C246+B247,"")</f>
        <v/>
      </c>
      <c r="D247" s="10">
        <f>IF(A247&lt;=$B$8*12,(D246+B247)*(1+$B$9),"")</f>
        <v/>
      </c>
      <c r="E247" s="10">
        <f>IF(A247&lt;=$B$8*12,D247-$B$6-IFERROR(D246,$B$7),"")</f>
        <v/>
      </c>
      <c r="F247" s="10">
        <f>IF(A247&lt;=$B$8*12,D247*$B$9,"")</f>
        <v/>
      </c>
    </row>
    <row r="248">
      <c r="A248" s="9" t="n">
        <v>225</v>
      </c>
      <c r="B248" s="10">
        <f>IF(A248&lt;=$B$8*12,$B$6,"")</f>
        <v/>
      </c>
      <c r="C248" s="10">
        <f>IF(A248&lt;=$B$8*12,C247+B248,"")</f>
        <v/>
      </c>
      <c r="D248" s="10">
        <f>IF(A248&lt;=$B$8*12,(D247+B248)*(1+$B$9),"")</f>
        <v/>
      </c>
      <c r="E248" s="10">
        <f>IF(A248&lt;=$B$8*12,D248-$B$6-IFERROR(D247,$B$7),"")</f>
        <v/>
      </c>
      <c r="F248" s="10">
        <f>IF(A248&lt;=$B$8*12,D248*$B$9,"")</f>
        <v/>
      </c>
    </row>
    <row r="249">
      <c r="A249" s="9" t="n">
        <v>226</v>
      </c>
      <c r="B249" s="10">
        <f>IF(A249&lt;=$B$8*12,$B$6,"")</f>
        <v/>
      </c>
      <c r="C249" s="10">
        <f>IF(A249&lt;=$B$8*12,C248+B249,"")</f>
        <v/>
      </c>
      <c r="D249" s="10">
        <f>IF(A249&lt;=$B$8*12,(D248+B249)*(1+$B$9),"")</f>
        <v/>
      </c>
      <c r="E249" s="10">
        <f>IF(A249&lt;=$B$8*12,D249-$B$6-IFERROR(D248,$B$7),"")</f>
        <v/>
      </c>
      <c r="F249" s="10">
        <f>IF(A249&lt;=$B$8*12,D249*$B$9,"")</f>
        <v/>
      </c>
    </row>
    <row r="250">
      <c r="A250" s="9" t="n">
        <v>227</v>
      </c>
      <c r="B250" s="10">
        <f>IF(A250&lt;=$B$8*12,$B$6,"")</f>
        <v/>
      </c>
      <c r="C250" s="10">
        <f>IF(A250&lt;=$B$8*12,C249+B250,"")</f>
        <v/>
      </c>
      <c r="D250" s="10">
        <f>IF(A250&lt;=$B$8*12,(D249+B250)*(1+$B$9),"")</f>
        <v/>
      </c>
      <c r="E250" s="10">
        <f>IF(A250&lt;=$B$8*12,D250-$B$6-IFERROR(D249,$B$7),"")</f>
        <v/>
      </c>
      <c r="F250" s="10">
        <f>IF(A250&lt;=$B$8*12,D250*$B$9,"")</f>
        <v/>
      </c>
    </row>
    <row r="251">
      <c r="A251" s="9" t="n">
        <v>228</v>
      </c>
      <c r="B251" s="10">
        <f>IF(A251&lt;=$B$8*12,$B$6,"")</f>
        <v/>
      </c>
      <c r="C251" s="10">
        <f>IF(A251&lt;=$B$8*12,C250+B251,"")</f>
        <v/>
      </c>
      <c r="D251" s="10">
        <f>IF(A251&lt;=$B$8*12,(D250+B251)*(1+$B$9),"")</f>
        <v/>
      </c>
      <c r="E251" s="10">
        <f>IF(A251&lt;=$B$8*12,D251-$B$6-IFERROR(D250,$B$7),"")</f>
        <v/>
      </c>
      <c r="F251" s="10">
        <f>IF(A251&lt;=$B$8*12,D251*$B$9,"")</f>
        <v/>
      </c>
    </row>
    <row r="252">
      <c r="A252" s="9" t="n">
        <v>229</v>
      </c>
      <c r="B252" s="10">
        <f>IF(A252&lt;=$B$8*12,$B$6,"")</f>
        <v/>
      </c>
      <c r="C252" s="10">
        <f>IF(A252&lt;=$B$8*12,C251+B252,"")</f>
        <v/>
      </c>
      <c r="D252" s="10">
        <f>IF(A252&lt;=$B$8*12,(D251+B252)*(1+$B$9),"")</f>
        <v/>
      </c>
      <c r="E252" s="10">
        <f>IF(A252&lt;=$B$8*12,D252-$B$6-IFERROR(D251,$B$7),"")</f>
        <v/>
      </c>
      <c r="F252" s="10">
        <f>IF(A252&lt;=$B$8*12,D252*$B$9,"")</f>
        <v/>
      </c>
    </row>
    <row r="253">
      <c r="A253" s="9" t="n">
        <v>230</v>
      </c>
      <c r="B253" s="10">
        <f>IF(A253&lt;=$B$8*12,$B$6,"")</f>
        <v/>
      </c>
      <c r="C253" s="10">
        <f>IF(A253&lt;=$B$8*12,C252+B253,"")</f>
        <v/>
      </c>
      <c r="D253" s="10">
        <f>IF(A253&lt;=$B$8*12,(D252+B253)*(1+$B$9),"")</f>
        <v/>
      </c>
      <c r="E253" s="10">
        <f>IF(A253&lt;=$B$8*12,D253-$B$6-IFERROR(D252,$B$7),"")</f>
        <v/>
      </c>
      <c r="F253" s="10">
        <f>IF(A253&lt;=$B$8*12,D253*$B$9,"")</f>
        <v/>
      </c>
    </row>
    <row r="254">
      <c r="A254" s="9" t="n">
        <v>231</v>
      </c>
      <c r="B254" s="10">
        <f>IF(A254&lt;=$B$8*12,$B$6,"")</f>
        <v/>
      </c>
      <c r="C254" s="10">
        <f>IF(A254&lt;=$B$8*12,C253+B254,"")</f>
        <v/>
      </c>
      <c r="D254" s="10">
        <f>IF(A254&lt;=$B$8*12,(D253+B254)*(1+$B$9),"")</f>
        <v/>
      </c>
      <c r="E254" s="10">
        <f>IF(A254&lt;=$B$8*12,D254-$B$6-IFERROR(D253,$B$7),"")</f>
        <v/>
      </c>
      <c r="F254" s="10">
        <f>IF(A254&lt;=$B$8*12,D254*$B$9,"")</f>
        <v/>
      </c>
    </row>
    <row r="255">
      <c r="A255" s="9" t="n">
        <v>232</v>
      </c>
      <c r="B255" s="10">
        <f>IF(A255&lt;=$B$8*12,$B$6,"")</f>
        <v/>
      </c>
      <c r="C255" s="10">
        <f>IF(A255&lt;=$B$8*12,C254+B255,"")</f>
        <v/>
      </c>
      <c r="D255" s="10">
        <f>IF(A255&lt;=$B$8*12,(D254+B255)*(1+$B$9),"")</f>
        <v/>
      </c>
      <c r="E255" s="10">
        <f>IF(A255&lt;=$B$8*12,D255-$B$6-IFERROR(D254,$B$7),"")</f>
        <v/>
      </c>
      <c r="F255" s="10">
        <f>IF(A255&lt;=$B$8*12,D255*$B$9,"")</f>
        <v/>
      </c>
    </row>
    <row r="256">
      <c r="A256" s="9" t="n">
        <v>233</v>
      </c>
      <c r="B256" s="10">
        <f>IF(A256&lt;=$B$8*12,$B$6,"")</f>
        <v/>
      </c>
      <c r="C256" s="10">
        <f>IF(A256&lt;=$B$8*12,C255+B256,"")</f>
        <v/>
      </c>
      <c r="D256" s="10">
        <f>IF(A256&lt;=$B$8*12,(D255+B256)*(1+$B$9),"")</f>
        <v/>
      </c>
      <c r="E256" s="10">
        <f>IF(A256&lt;=$B$8*12,D256-$B$6-IFERROR(D255,$B$7),"")</f>
        <v/>
      </c>
      <c r="F256" s="10">
        <f>IF(A256&lt;=$B$8*12,D256*$B$9,"")</f>
        <v/>
      </c>
    </row>
    <row r="257">
      <c r="A257" s="9" t="n">
        <v>234</v>
      </c>
      <c r="B257" s="10">
        <f>IF(A257&lt;=$B$8*12,$B$6,"")</f>
        <v/>
      </c>
      <c r="C257" s="10">
        <f>IF(A257&lt;=$B$8*12,C256+B257,"")</f>
        <v/>
      </c>
      <c r="D257" s="10">
        <f>IF(A257&lt;=$B$8*12,(D256+B257)*(1+$B$9),"")</f>
        <v/>
      </c>
      <c r="E257" s="10">
        <f>IF(A257&lt;=$B$8*12,D257-$B$6-IFERROR(D256,$B$7),"")</f>
        <v/>
      </c>
      <c r="F257" s="10">
        <f>IF(A257&lt;=$B$8*12,D257*$B$9,"")</f>
        <v/>
      </c>
    </row>
    <row r="258">
      <c r="A258" s="9" t="n">
        <v>235</v>
      </c>
      <c r="B258" s="10">
        <f>IF(A258&lt;=$B$8*12,$B$6,"")</f>
        <v/>
      </c>
      <c r="C258" s="10">
        <f>IF(A258&lt;=$B$8*12,C257+B258,"")</f>
        <v/>
      </c>
      <c r="D258" s="10">
        <f>IF(A258&lt;=$B$8*12,(D257+B258)*(1+$B$9),"")</f>
        <v/>
      </c>
      <c r="E258" s="10">
        <f>IF(A258&lt;=$B$8*12,D258-$B$6-IFERROR(D257,$B$7),"")</f>
        <v/>
      </c>
      <c r="F258" s="10">
        <f>IF(A258&lt;=$B$8*12,D258*$B$9,"")</f>
        <v/>
      </c>
    </row>
    <row r="259">
      <c r="A259" s="9" t="n">
        <v>236</v>
      </c>
      <c r="B259" s="10">
        <f>IF(A259&lt;=$B$8*12,$B$6,"")</f>
        <v/>
      </c>
      <c r="C259" s="10">
        <f>IF(A259&lt;=$B$8*12,C258+B259,"")</f>
        <v/>
      </c>
      <c r="D259" s="10">
        <f>IF(A259&lt;=$B$8*12,(D258+B259)*(1+$B$9),"")</f>
        <v/>
      </c>
      <c r="E259" s="10">
        <f>IF(A259&lt;=$B$8*12,D259-$B$6-IFERROR(D258,$B$7),"")</f>
        <v/>
      </c>
      <c r="F259" s="10">
        <f>IF(A259&lt;=$B$8*12,D259*$B$9,"")</f>
        <v/>
      </c>
    </row>
    <row r="260">
      <c r="A260" s="9" t="n">
        <v>237</v>
      </c>
      <c r="B260" s="10">
        <f>IF(A260&lt;=$B$8*12,$B$6,"")</f>
        <v/>
      </c>
      <c r="C260" s="10">
        <f>IF(A260&lt;=$B$8*12,C259+B260,"")</f>
        <v/>
      </c>
      <c r="D260" s="10">
        <f>IF(A260&lt;=$B$8*12,(D259+B260)*(1+$B$9),"")</f>
        <v/>
      </c>
      <c r="E260" s="10">
        <f>IF(A260&lt;=$B$8*12,D260-$B$6-IFERROR(D259,$B$7),"")</f>
        <v/>
      </c>
      <c r="F260" s="10">
        <f>IF(A260&lt;=$B$8*12,D260*$B$9,"")</f>
        <v/>
      </c>
    </row>
    <row r="261">
      <c r="A261" s="9" t="n">
        <v>238</v>
      </c>
      <c r="B261" s="10">
        <f>IF(A261&lt;=$B$8*12,$B$6,"")</f>
        <v/>
      </c>
      <c r="C261" s="10">
        <f>IF(A261&lt;=$B$8*12,C260+B261,"")</f>
        <v/>
      </c>
      <c r="D261" s="10">
        <f>IF(A261&lt;=$B$8*12,(D260+B261)*(1+$B$9),"")</f>
        <v/>
      </c>
      <c r="E261" s="10">
        <f>IF(A261&lt;=$B$8*12,D261-$B$6-IFERROR(D260,$B$7),"")</f>
        <v/>
      </c>
      <c r="F261" s="10">
        <f>IF(A261&lt;=$B$8*12,D261*$B$9,"")</f>
        <v/>
      </c>
    </row>
    <row r="262">
      <c r="A262" s="9" t="n">
        <v>239</v>
      </c>
      <c r="B262" s="10">
        <f>IF(A262&lt;=$B$8*12,$B$6,"")</f>
        <v/>
      </c>
      <c r="C262" s="10">
        <f>IF(A262&lt;=$B$8*12,C261+B262,"")</f>
        <v/>
      </c>
      <c r="D262" s="10">
        <f>IF(A262&lt;=$B$8*12,(D261+B262)*(1+$B$9),"")</f>
        <v/>
      </c>
      <c r="E262" s="10">
        <f>IF(A262&lt;=$B$8*12,D262-$B$6-IFERROR(D261,$B$7),"")</f>
        <v/>
      </c>
      <c r="F262" s="10">
        <f>IF(A262&lt;=$B$8*12,D262*$B$9,"")</f>
        <v/>
      </c>
    </row>
    <row r="263">
      <c r="A263" s="9" t="n">
        <v>240</v>
      </c>
      <c r="B263" s="10">
        <f>IF(A263&lt;=$B$8*12,$B$6,"")</f>
        <v/>
      </c>
      <c r="C263" s="10">
        <f>IF(A263&lt;=$B$8*12,C262+B263,"")</f>
        <v/>
      </c>
      <c r="D263" s="10">
        <f>IF(A263&lt;=$B$8*12,(D262+B263)*(1+$B$9),"")</f>
        <v/>
      </c>
      <c r="E263" s="10">
        <f>IF(A263&lt;=$B$8*12,D263-$B$6-IFERROR(D262,$B$7),"")</f>
        <v/>
      </c>
      <c r="F263" s="10">
        <f>IF(A263&lt;=$B$8*12,D263*$B$9,"")</f>
        <v/>
      </c>
    </row>
    <row r="264">
      <c r="A264" s="9" t="n">
        <v>241</v>
      </c>
      <c r="B264" s="10">
        <f>IF(A264&lt;=$B$8*12,$B$6,"")</f>
        <v/>
      </c>
      <c r="C264" s="10">
        <f>IF(A264&lt;=$B$8*12,C263+B264,"")</f>
        <v/>
      </c>
      <c r="D264" s="10">
        <f>IF(A264&lt;=$B$8*12,(D263+B264)*(1+$B$9),"")</f>
        <v/>
      </c>
      <c r="E264" s="10">
        <f>IF(A264&lt;=$B$8*12,D264-$B$6-IFERROR(D263,$B$7),"")</f>
        <v/>
      </c>
      <c r="F264" s="10">
        <f>IF(A264&lt;=$B$8*12,D264*$B$9,"")</f>
        <v/>
      </c>
    </row>
    <row r="265">
      <c r="A265" s="9" t="n">
        <v>242</v>
      </c>
      <c r="B265" s="10">
        <f>IF(A265&lt;=$B$8*12,$B$6,"")</f>
        <v/>
      </c>
      <c r="C265" s="10">
        <f>IF(A265&lt;=$B$8*12,C264+B265,"")</f>
        <v/>
      </c>
      <c r="D265" s="10">
        <f>IF(A265&lt;=$B$8*12,(D264+B265)*(1+$B$9),"")</f>
        <v/>
      </c>
      <c r="E265" s="10">
        <f>IF(A265&lt;=$B$8*12,D265-$B$6-IFERROR(D264,$B$7),"")</f>
        <v/>
      </c>
      <c r="F265" s="10">
        <f>IF(A265&lt;=$B$8*12,D265*$B$9,"")</f>
        <v/>
      </c>
    </row>
    <row r="266">
      <c r="A266" s="9" t="n">
        <v>243</v>
      </c>
      <c r="B266" s="10">
        <f>IF(A266&lt;=$B$8*12,$B$6,"")</f>
        <v/>
      </c>
      <c r="C266" s="10">
        <f>IF(A266&lt;=$B$8*12,C265+B266,"")</f>
        <v/>
      </c>
      <c r="D266" s="10">
        <f>IF(A266&lt;=$B$8*12,(D265+B266)*(1+$B$9),"")</f>
        <v/>
      </c>
      <c r="E266" s="10">
        <f>IF(A266&lt;=$B$8*12,D266-$B$6-IFERROR(D265,$B$7),"")</f>
        <v/>
      </c>
      <c r="F266" s="10">
        <f>IF(A266&lt;=$B$8*12,D266*$B$9,"")</f>
        <v/>
      </c>
    </row>
    <row r="267">
      <c r="A267" s="9" t="n">
        <v>244</v>
      </c>
      <c r="B267" s="10">
        <f>IF(A267&lt;=$B$8*12,$B$6,"")</f>
        <v/>
      </c>
      <c r="C267" s="10">
        <f>IF(A267&lt;=$B$8*12,C266+B267,"")</f>
        <v/>
      </c>
      <c r="D267" s="10">
        <f>IF(A267&lt;=$B$8*12,(D266+B267)*(1+$B$9),"")</f>
        <v/>
      </c>
      <c r="E267" s="10">
        <f>IF(A267&lt;=$B$8*12,D267-$B$6-IFERROR(D266,$B$7),"")</f>
        <v/>
      </c>
      <c r="F267" s="10">
        <f>IF(A267&lt;=$B$8*12,D267*$B$9,"")</f>
        <v/>
      </c>
    </row>
    <row r="268">
      <c r="A268" s="9" t="n">
        <v>245</v>
      </c>
      <c r="B268" s="10">
        <f>IF(A268&lt;=$B$8*12,$B$6,"")</f>
        <v/>
      </c>
      <c r="C268" s="10">
        <f>IF(A268&lt;=$B$8*12,C267+B268,"")</f>
        <v/>
      </c>
      <c r="D268" s="10">
        <f>IF(A268&lt;=$B$8*12,(D267+B268)*(1+$B$9),"")</f>
        <v/>
      </c>
      <c r="E268" s="10">
        <f>IF(A268&lt;=$B$8*12,D268-$B$6-IFERROR(D267,$B$7),"")</f>
        <v/>
      </c>
      <c r="F268" s="10">
        <f>IF(A268&lt;=$B$8*12,D268*$B$9,"")</f>
        <v/>
      </c>
    </row>
    <row r="269">
      <c r="A269" s="9" t="n">
        <v>246</v>
      </c>
      <c r="B269" s="10">
        <f>IF(A269&lt;=$B$8*12,$B$6,"")</f>
        <v/>
      </c>
      <c r="C269" s="10">
        <f>IF(A269&lt;=$B$8*12,C268+B269,"")</f>
        <v/>
      </c>
      <c r="D269" s="10">
        <f>IF(A269&lt;=$B$8*12,(D268+B269)*(1+$B$9),"")</f>
        <v/>
      </c>
      <c r="E269" s="10">
        <f>IF(A269&lt;=$B$8*12,D269-$B$6-IFERROR(D268,$B$7),"")</f>
        <v/>
      </c>
      <c r="F269" s="10">
        <f>IF(A269&lt;=$B$8*12,D269*$B$9,"")</f>
        <v/>
      </c>
    </row>
    <row r="270">
      <c r="A270" s="9" t="n">
        <v>247</v>
      </c>
      <c r="B270" s="10">
        <f>IF(A270&lt;=$B$8*12,$B$6,"")</f>
        <v/>
      </c>
      <c r="C270" s="10">
        <f>IF(A270&lt;=$B$8*12,C269+B270,"")</f>
        <v/>
      </c>
      <c r="D270" s="10">
        <f>IF(A270&lt;=$B$8*12,(D269+B270)*(1+$B$9),"")</f>
        <v/>
      </c>
      <c r="E270" s="10">
        <f>IF(A270&lt;=$B$8*12,D270-$B$6-IFERROR(D269,$B$7),"")</f>
        <v/>
      </c>
      <c r="F270" s="10">
        <f>IF(A270&lt;=$B$8*12,D270*$B$9,"")</f>
        <v/>
      </c>
    </row>
    <row r="271">
      <c r="A271" s="9" t="n">
        <v>248</v>
      </c>
      <c r="B271" s="10">
        <f>IF(A271&lt;=$B$8*12,$B$6,"")</f>
        <v/>
      </c>
      <c r="C271" s="10">
        <f>IF(A271&lt;=$B$8*12,C270+B271,"")</f>
        <v/>
      </c>
      <c r="D271" s="10">
        <f>IF(A271&lt;=$B$8*12,(D270+B271)*(1+$B$9),"")</f>
        <v/>
      </c>
      <c r="E271" s="10">
        <f>IF(A271&lt;=$B$8*12,D271-$B$6-IFERROR(D270,$B$7),"")</f>
        <v/>
      </c>
      <c r="F271" s="10">
        <f>IF(A271&lt;=$B$8*12,D271*$B$9,"")</f>
        <v/>
      </c>
    </row>
    <row r="272">
      <c r="A272" s="9" t="n">
        <v>249</v>
      </c>
      <c r="B272" s="10">
        <f>IF(A272&lt;=$B$8*12,$B$6,"")</f>
        <v/>
      </c>
      <c r="C272" s="10">
        <f>IF(A272&lt;=$B$8*12,C271+B272,"")</f>
        <v/>
      </c>
      <c r="D272" s="10">
        <f>IF(A272&lt;=$B$8*12,(D271+B272)*(1+$B$9),"")</f>
        <v/>
      </c>
      <c r="E272" s="10">
        <f>IF(A272&lt;=$B$8*12,D272-$B$6-IFERROR(D271,$B$7),"")</f>
        <v/>
      </c>
      <c r="F272" s="10">
        <f>IF(A272&lt;=$B$8*12,D272*$B$9,"")</f>
        <v/>
      </c>
    </row>
    <row r="273">
      <c r="A273" s="9" t="n">
        <v>250</v>
      </c>
      <c r="B273" s="10">
        <f>IF(A273&lt;=$B$8*12,$B$6,"")</f>
        <v/>
      </c>
      <c r="C273" s="10">
        <f>IF(A273&lt;=$B$8*12,C272+B273,"")</f>
        <v/>
      </c>
      <c r="D273" s="10">
        <f>IF(A273&lt;=$B$8*12,(D272+B273)*(1+$B$9),"")</f>
        <v/>
      </c>
      <c r="E273" s="10">
        <f>IF(A273&lt;=$B$8*12,D273-$B$6-IFERROR(D272,$B$7),"")</f>
        <v/>
      </c>
      <c r="F273" s="10">
        <f>IF(A273&lt;=$B$8*12,D273*$B$9,"")</f>
        <v/>
      </c>
    </row>
    <row r="274">
      <c r="A274" s="9" t="n">
        <v>251</v>
      </c>
      <c r="B274" s="10">
        <f>IF(A274&lt;=$B$8*12,$B$6,"")</f>
        <v/>
      </c>
      <c r="C274" s="10">
        <f>IF(A274&lt;=$B$8*12,C273+B274,"")</f>
        <v/>
      </c>
      <c r="D274" s="10">
        <f>IF(A274&lt;=$B$8*12,(D273+B274)*(1+$B$9),"")</f>
        <v/>
      </c>
      <c r="E274" s="10">
        <f>IF(A274&lt;=$B$8*12,D274-$B$6-IFERROR(D273,$B$7),"")</f>
        <v/>
      </c>
      <c r="F274" s="10">
        <f>IF(A274&lt;=$B$8*12,D274*$B$9,"")</f>
        <v/>
      </c>
    </row>
    <row r="275">
      <c r="A275" s="9" t="n">
        <v>252</v>
      </c>
      <c r="B275" s="10">
        <f>IF(A275&lt;=$B$8*12,$B$6,"")</f>
        <v/>
      </c>
      <c r="C275" s="10">
        <f>IF(A275&lt;=$B$8*12,C274+B275,"")</f>
        <v/>
      </c>
      <c r="D275" s="10">
        <f>IF(A275&lt;=$B$8*12,(D274+B275)*(1+$B$9),"")</f>
        <v/>
      </c>
      <c r="E275" s="10">
        <f>IF(A275&lt;=$B$8*12,D275-$B$6-IFERROR(D274,$B$7),"")</f>
        <v/>
      </c>
      <c r="F275" s="10">
        <f>IF(A275&lt;=$B$8*12,D275*$B$9,"")</f>
        <v/>
      </c>
    </row>
    <row r="276">
      <c r="A276" s="9" t="n">
        <v>253</v>
      </c>
      <c r="B276" s="10">
        <f>IF(A276&lt;=$B$8*12,$B$6,"")</f>
        <v/>
      </c>
      <c r="C276" s="10">
        <f>IF(A276&lt;=$B$8*12,C275+B276,"")</f>
        <v/>
      </c>
      <c r="D276" s="10">
        <f>IF(A276&lt;=$B$8*12,(D275+B276)*(1+$B$9),"")</f>
        <v/>
      </c>
      <c r="E276" s="10">
        <f>IF(A276&lt;=$B$8*12,D276-$B$6-IFERROR(D275,$B$7),"")</f>
        <v/>
      </c>
      <c r="F276" s="10">
        <f>IF(A276&lt;=$B$8*12,D276*$B$9,"")</f>
        <v/>
      </c>
    </row>
    <row r="277">
      <c r="A277" s="9" t="n">
        <v>254</v>
      </c>
      <c r="B277" s="10">
        <f>IF(A277&lt;=$B$8*12,$B$6,"")</f>
        <v/>
      </c>
      <c r="C277" s="10">
        <f>IF(A277&lt;=$B$8*12,C276+B277,"")</f>
        <v/>
      </c>
      <c r="D277" s="10">
        <f>IF(A277&lt;=$B$8*12,(D276+B277)*(1+$B$9),"")</f>
        <v/>
      </c>
      <c r="E277" s="10">
        <f>IF(A277&lt;=$B$8*12,D277-$B$6-IFERROR(D276,$B$7),"")</f>
        <v/>
      </c>
      <c r="F277" s="10">
        <f>IF(A277&lt;=$B$8*12,D277*$B$9,"")</f>
        <v/>
      </c>
    </row>
    <row r="278">
      <c r="A278" s="9" t="n">
        <v>255</v>
      </c>
      <c r="B278" s="10">
        <f>IF(A278&lt;=$B$8*12,$B$6,"")</f>
        <v/>
      </c>
      <c r="C278" s="10">
        <f>IF(A278&lt;=$B$8*12,C277+B278,"")</f>
        <v/>
      </c>
      <c r="D278" s="10">
        <f>IF(A278&lt;=$B$8*12,(D277+B278)*(1+$B$9),"")</f>
        <v/>
      </c>
      <c r="E278" s="10">
        <f>IF(A278&lt;=$B$8*12,D278-$B$6-IFERROR(D277,$B$7),"")</f>
        <v/>
      </c>
      <c r="F278" s="10">
        <f>IF(A278&lt;=$B$8*12,D278*$B$9,"")</f>
        <v/>
      </c>
    </row>
    <row r="279">
      <c r="A279" s="9" t="n">
        <v>256</v>
      </c>
      <c r="B279" s="10">
        <f>IF(A279&lt;=$B$8*12,$B$6,"")</f>
        <v/>
      </c>
      <c r="C279" s="10">
        <f>IF(A279&lt;=$B$8*12,C278+B279,"")</f>
        <v/>
      </c>
      <c r="D279" s="10">
        <f>IF(A279&lt;=$B$8*12,(D278+B279)*(1+$B$9),"")</f>
        <v/>
      </c>
      <c r="E279" s="10">
        <f>IF(A279&lt;=$B$8*12,D279-$B$6-IFERROR(D278,$B$7),"")</f>
        <v/>
      </c>
      <c r="F279" s="10">
        <f>IF(A279&lt;=$B$8*12,D279*$B$9,"")</f>
        <v/>
      </c>
    </row>
    <row r="280">
      <c r="A280" s="9" t="n">
        <v>257</v>
      </c>
      <c r="B280" s="10">
        <f>IF(A280&lt;=$B$8*12,$B$6,"")</f>
        <v/>
      </c>
      <c r="C280" s="10">
        <f>IF(A280&lt;=$B$8*12,C279+B280,"")</f>
        <v/>
      </c>
      <c r="D280" s="10">
        <f>IF(A280&lt;=$B$8*12,(D279+B280)*(1+$B$9),"")</f>
        <v/>
      </c>
      <c r="E280" s="10">
        <f>IF(A280&lt;=$B$8*12,D280-$B$6-IFERROR(D279,$B$7),"")</f>
        <v/>
      </c>
      <c r="F280" s="10">
        <f>IF(A280&lt;=$B$8*12,D280*$B$9,"")</f>
        <v/>
      </c>
    </row>
    <row r="281">
      <c r="A281" s="9" t="n">
        <v>258</v>
      </c>
      <c r="B281" s="10">
        <f>IF(A281&lt;=$B$8*12,$B$6,"")</f>
        <v/>
      </c>
      <c r="C281" s="10">
        <f>IF(A281&lt;=$B$8*12,C280+B281,"")</f>
        <v/>
      </c>
      <c r="D281" s="10">
        <f>IF(A281&lt;=$B$8*12,(D280+B281)*(1+$B$9),"")</f>
        <v/>
      </c>
      <c r="E281" s="10">
        <f>IF(A281&lt;=$B$8*12,D281-$B$6-IFERROR(D280,$B$7),"")</f>
        <v/>
      </c>
      <c r="F281" s="10">
        <f>IF(A281&lt;=$B$8*12,D281*$B$9,"")</f>
        <v/>
      </c>
    </row>
    <row r="282">
      <c r="A282" s="9" t="n">
        <v>259</v>
      </c>
      <c r="B282" s="10">
        <f>IF(A282&lt;=$B$8*12,$B$6,"")</f>
        <v/>
      </c>
      <c r="C282" s="10">
        <f>IF(A282&lt;=$B$8*12,C281+B282,"")</f>
        <v/>
      </c>
      <c r="D282" s="10">
        <f>IF(A282&lt;=$B$8*12,(D281+B282)*(1+$B$9),"")</f>
        <v/>
      </c>
      <c r="E282" s="10">
        <f>IF(A282&lt;=$B$8*12,D282-$B$6-IFERROR(D281,$B$7),"")</f>
        <v/>
      </c>
      <c r="F282" s="10">
        <f>IF(A282&lt;=$B$8*12,D282*$B$9,"")</f>
        <v/>
      </c>
    </row>
    <row r="283">
      <c r="A283" s="9" t="n">
        <v>260</v>
      </c>
      <c r="B283" s="10">
        <f>IF(A283&lt;=$B$8*12,$B$6,"")</f>
        <v/>
      </c>
      <c r="C283" s="10">
        <f>IF(A283&lt;=$B$8*12,C282+B283,"")</f>
        <v/>
      </c>
      <c r="D283" s="10">
        <f>IF(A283&lt;=$B$8*12,(D282+B283)*(1+$B$9),"")</f>
        <v/>
      </c>
      <c r="E283" s="10">
        <f>IF(A283&lt;=$B$8*12,D283-$B$6-IFERROR(D282,$B$7),"")</f>
        <v/>
      </c>
      <c r="F283" s="10">
        <f>IF(A283&lt;=$B$8*12,D283*$B$9,"")</f>
        <v/>
      </c>
    </row>
    <row r="284">
      <c r="A284" s="9" t="n">
        <v>261</v>
      </c>
      <c r="B284" s="10">
        <f>IF(A284&lt;=$B$8*12,$B$6,"")</f>
        <v/>
      </c>
      <c r="C284" s="10">
        <f>IF(A284&lt;=$B$8*12,C283+B284,"")</f>
        <v/>
      </c>
      <c r="D284" s="10">
        <f>IF(A284&lt;=$B$8*12,(D283+B284)*(1+$B$9),"")</f>
        <v/>
      </c>
      <c r="E284" s="10">
        <f>IF(A284&lt;=$B$8*12,D284-$B$6-IFERROR(D283,$B$7),"")</f>
        <v/>
      </c>
      <c r="F284" s="10">
        <f>IF(A284&lt;=$B$8*12,D284*$B$9,"")</f>
        <v/>
      </c>
    </row>
    <row r="285">
      <c r="A285" s="9" t="n">
        <v>262</v>
      </c>
      <c r="B285" s="10">
        <f>IF(A285&lt;=$B$8*12,$B$6,"")</f>
        <v/>
      </c>
      <c r="C285" s="10">
        <f>IF(A285&lt;=$B$8*12,C284+B285,"")</f>
        <v/>
      </c>
      <c r="D285" s="10">
        <f>IF(A285&lt;=$B$8*12,(D284+B285)*(1+$B$9),"")</f>
        <v/>
      </c>
      <c r="E285" s="10">
        <f>IF(A285&lt;=$B$8*12,D285-$B$6-IFERROR(D284,$B$7),"")</f>
        <v/>
      </c>
      <c r="F285" s="10">
        <f>IF(A285&lt;=$B$8*12,D285*$B$9,"")</f>
        <v/>
      </c>
    </row>
    <row r="286">
      <c r="A286" s="9" t="n">
        <v>263</v>
      </c>
      <c r="B286" s="10">
        <f>IF(A286&lt;=$B$8*12,$B$6,"")</f>
        <v/>
      </c>
      <c r="C286" s="10">
        <f>IF(A286&lt;=$B$8*12,C285+B286,"")</f>
        <v/>
      </c>
      <c r="D286" s="10">
        <f>IF(A286&lt;=$B$8*12,(D285+B286)*(1+$B$9),"")</f>
        <v/>
      </c>
      <c r="E286" s="10">
        <f>IF(A286&lt;=$B$8*12,D286-$B$6-IFERROR(D285,$B$7),"")</f>
        <v/>
      </c>
      <c r="F286" s="10">
        <f>IF(A286&lt;=$B$8*12,D286*$B$9,"")</f>
        <v/>
      </c>
    </row>
    <row r="287">
      <c r="A287" s="9" t="n">
        <v>264</v>
      </c>
      <c r="B287" s="10">
        <f>IF(A287&lt;=$B$8*12,$B$6,"")</f>
        <v/>
      </c>
      <c r="C287" s="10">
        <f>IF(A287&lt;=$B$8*12,C286+B287,"")</f>
        <v/>
      </c>
      <c r="D287" s="10">
        <f>IF(A287&lt;=$B$8*12,(D286+B287)*(1+$B$9),"")</f>
        <v/>
      </c>
      <c r="E287" s="10">
        <f>IF(A287&lt;=$B$8*12,D287-$B$6-IFERROR(D286,$B$7),"")</f>
        <v/>
      </c>
      <c r="F287" s="10">
        <f>IF(A287&lt;=$B$8*12,D287*$B$9,"")</f>
        <v/>
      </c>
    </row>
    <row r="288">
      <c r="A288" s="9" t="n">
        <v>265</v>
      </c>
      <c r="B288" s="10">
        <f>IF(A288&lt;=$B$8*12,$B$6,"")</f>
        <v/>
      </c>
      <c r="C288" s="10">
        <f>IF(A288&lt;=$B$8*12,C287+B288,"")</f>
        <v/>
      </c>
      <c r="D288" s="10">
        <f>IF(A288&lt;=$B$8*12,(D287+B288)*(1+$B$9),"")</f>
        <v/>
      </c>
      <c r="E288" s="10">
        <f>IF(A288&lt;=$B$8*12,D288-$B$6-IFERROR(D287,$B$7),"")</f>
        <v/>
      </c>
      <c r="F288" s="10">
        <f>IF(A288&lt;=$B$8*12,D288*$B$9,"")</f>
        <v/>
      </c>
    </row>
    <row r="289">
      <c r="A289" s="9" t="n">
        <v>266</v>
      </c>
      <c r="B289" s="10">
        <f>IF(A289&lt;=$B$8*12,$B$6,"")</f>
        <v/>
      </c>
      <c r="C289" s="10">
        <f>IF(A289&lt;=$B$8*12,C288+B289,"")</f>
        <v/>
      </c>
      <c r="D289" s="10">
        <f>IF(A289&lt;=$B$8*12,(D288+B289)*(1+$B$9),"")</f>
        <v/>
      </c>
      <c r="E289" s="10">
        <f>IF(A289&lt;=$B$8*12,D289-$B$6-IFERROR(D288,$B$7),"")</f>
        <v/>
      </c>
      <c r="F289" s="10">
        <f>IF(A289&lt;=$B$8*12,D289*$B$9,"")</f>
        <v/>
      </c>
    </row>
    <row r="290">
      <c r="A290" s="9" t="n">
        <v>267</v>
      </c>
      <c r="B290" s="10">
        <f>IF(A290&lt;=$B$8*12,$B$6,"")</f>
        <v/>
      </c>
      <c r="C290" s="10">
        <f>IF(A290&lt;=$B$8*12,C289+B290,"")</f>
        <v/>
      </c>
      <c r="D290" s="10">
        <f>IF(A290&lt;=$B$8*12,(D289+B290)*(1+$B$9),"")</f>
        <v/>
      </c>
      <c r="E290" s="10">
        <f>IF(A290&lt;=$B$8*12,D290-$B$6-IFERROR(D289,$B$7),"")</f>
        <v/>
      </c>
      <c r="F290" s="10">
        <f>IF(A290&lt;=$B$8*12,D290*$B$9,"")</f>
        <v/>
      </c>
    </row>
    <row r="291">
      <c r="A291" s="9" t="n">
        <v>268</v>
      </c>
      <c r="B291" s="10">
        <f>IF(A291&lt;=$B$8*12,$B$6,"")</f>
        <v/>
      </c>
      <c r="C291" s="10">
        <f>IF(A291&lt;=$B$8*12,C290+B291,"")</f>
        <v/>
      </c>
      <c r="D291" s="10">
        <f>IF(A291&lt;=$B$8*12,(D290+B291)*(1+$B$9),"")</f>
        <v/>
      </c>
      <c r="E291" s="10">
        <f>IF(A291&lt;=$B$8*12,D291-$B$6-IFERROR(D290,$B$7),"")</f>
        <v/>
      </c>
      <c r="F291" s="10">
        <f>IF(A291&lt;=$B$8*12,D291*$B$9,"")</f>
        <v/>
      </c>
    </row>
    <row r="292">
      <c r="A292" s="9" t="n">
        <v>269</v>
      </c>
      <c r="B292" s="10">
        <f>IF(A292&lt;=$B$8*12,$B$6,"")</f>
        <v/>
      </c>
      <c r="C292" s="10">
        <f>IF(A292&lt;=$B$8*12,C291+B292,"")</f>
        <v/>
      </c>
      <c r="D292" s="10">
        <f>IF(A292&lt;=$B$8*12,(D291+B292)*(1+$B$9),"")</f>
        <v/>
      </c>
      <c r="E292" s="10">
        <f>IF(A292&lt;=$B$8*12,D292-$B$6-IFERROR(D291,$B$7),"")</f>
        <v/>
      </c>
      <c r="F292" s="10">
        <f>IF(A292&lt;=$B$8*12,D292*$B$9,"")</f>
        <v/>
      </c>
    </row>
    <row r="293">
      <c r="A293" s="9" t="n">
        <v>270</v>
      </c>
      <c r="B293" s="10">
        <f>IF(A293&lt;=$B$8*12,$B$6,"")</f>
        <v/>
      </c>
      <c r="C293" s="10">
        <f>IF(A293&lt;=$B$8*12,C292+B293,"")</f>
        <v/>
      </c>
      <c r="D293" s="10">
        <f>IF(A293&lt;=$B$8*12,(D292+B293)*(1+$B$9),"")</f>
        <v/>
      </c>
      <c r="E293" s="10">
        <f>IF(A293&lt;=$B$8*12,D293-$B$6-IFERROR(D292,$B$7),"")</f>
        <v/>
      </c>
      <c r="F293" s="10">
        <f>IF(A293&lt;=$B$8*12,D293*$B$9,"")</f>
        <v/>
      </c>
    </row>
    <row r="294">
      <c r="A294" s="9" t="n">
        <v>271</v>
      </c>
      <c r="B294" s="10">
        <f>IF(A294&lt;=$B$8*12,$B$6,"")</f>
        <v/>
      </c>
      <c r="C294" s="10">
        <f>IF(A294&lt;=$B$8*12,C293+B294,"")</f>
        <v/>
      </c>
      <c r="D294" s="10">
        <f>IF(A294&lt;=$B$8*12,(D293+B294)*(1+$B$9),"")</f>
        <v/>
      </c>
      <c r="E294" s="10">
        <f>IF(A294&lt;=$B$8*12,D294-$B$6-IFERROR(D293,$B$7),"")</f>
        <v/>
      </c>
      <c r="F294" s="10">
        <f>IF(A294&lt;=$B$8*12,D294*$B$9,"")</f>
        <v/>
      </c>
    </row>
    <row r="295">
      <c r="A295" s="9" t="n">
        <v>272</v>
      </c>
      <c r="B295" s="10">
        <f>IF(A295&lt;=$B$8*12,$B$6,"")</f>
        <v/>
      </c>
      <c r="C295" s="10">
        <f>IF(A295&lt;=$B$8*12,C294+B295,"")</f>
        <v/>
      </c>
      <c r="D295" s="10">
        <f>IF(A295&lt;=$B$8*12,(D294+B295)*(1+$B$9),"")</f>
        <v/>
      </c>
      <c r="E295" s="10">
        <f>IF(A295&lt;=$B$8*12,D295-$B$6-IFERROR(D294,$B$7),"")</f>
        <v/>
      </c>
      <c r="F295" s="10">
        <f>IF(A295&lt;=$B$8*12,D295*$B$9,"")</f>
        <v/>
      </c>
    </row>
    <row r="296">
      <c r="A296" s="9" t="n">
        <v>273</v>
      </c>
      <c r="B296" s="10">
        <f>IF(A296&lt;=$B$8*12,$B$6,"")</f>
        <v/>
      </c>
      <c r="C296" s="10">
        <f>IF(A296&lt;=$B$8*12,C295+B296,"")</f>
        <v/>
      </c>
      <c r="D296" s="10">
        <f>IF(A296&lt;=$B$8*12,(D295+B296)*(1+$B$9),"")</f>
        <v/>
      </c>
      <c r="E296" s="10">
        <f>IF(A296&lt;=$B$8*12,D296-$B$6-IFERROR(D295,$B$7),"")</f>
        <v/>
      </c>
      <c r="F296" s="10">
        <f>IF(A296&lt;=$B$8*12,D296*$B$9,"")</f>
        <v/>
      </c>
    </row>
    <row r="297">
      <c r="A297" s="9" t="n">
        <v>274</v>
      </c>
      <c r="B297" s="10">
        <f>IF(A297&lt;=$B$8*12,$B$6,"")</f>
        <v/>
      </c>
      <c r="C297" s="10">
        <f>IF(A297&lt;=$B$8*12,C296+B297,"")</f>
        <v/>
      </c>
      <c r="D297" s="10">
        <f>IF(A297&lt;=$B$8*12,(D296+B297)*(1+$B$9),"")</f>
        <v/>
      </c>
      <c r="E297" s="10">
        <f>IF(A297&lt;=$B$8*12,D297-$B$6-IFERROR(D296,$B$7),"")</f>
        <v/>
      </c>
      <c r="F297" s="10">
        <f>IF(A297&lt;=$B$8*12,D297*$B$9,"")</f>
        <v/>
      </c>
    </row>
    <row r="298">
      <c r="A298" s="9" t="n">
        <v>275</v>
      </c>
      <c r="B298" s="10">
        <f>IF(A298&lt;=$B$8*12,$B$6,"")</f>
        <v/>
      </c>
      <c r="C298" s="10">
        <f>IF(A298&lt;=$B$8*12,C297+B298,"")</f>
        <v/>
      </c>
      <c r="D298" s="10">
        <f>IF(A298&lt;=$B$8*12,(D297+B298)*(1+$B$9),"")</f>
        <v/>
      </c>
      <c r="E298" s="10">
        <f>IF(A298&lt;=$B$8*12,D298-$B$6-IFERROR(D297,$B$7),"")</f>
        <v/>
      </c>
      <c r="F298" s="10">
        <f>IF(A298&lt;=$B$8*12,D298*$B$9,"")</f>
        <v/>
      </c>
    </row>
    <row r="299">
      <c r="A299" s="9" t="n">
        <v>276</v>
      </c>
      <c r="B299" s="10">
        <f>IF(A299&lt;=$B$8*12,$B$6,"")</f>
        <v/>
      </c>
      <c r="C299" s="10">
        <f>IF(A299&lt;=$B$8*12,C298+B299,"")</f>
        <v/>
      </c>
      <c r="D299" s="10">
        <f>IF(A299&lt;=$B$8*12,(D298+B299)*(1+$B$9),"")</f>
        <v/>
      </c>
      <c r="E299" s="10">
        <f>IF(A299&lt;=$B$8*12,D299-$B$6-IFERROR(D298,$B$7),"")</f>
        <v/>
      </c>
      <c r="F299" s="10">
        <f>IF(A299&lt;=$B$8*12,D299*$B$9,"")</f>
        <v/>
      </c>
    </row>
    <row r="300">
      <c r="A300" s="9" t="n">
        <v>277</v>
      </c>
      <c r="B300" s="10">
        <f>IF(A300&lt;=$B$8*12,$B$6,"")</f>
        <v/>
      </c>
      <c r="C300" s="10">
        <f>IF(A300&lt;=$B$8*12,C299+B300,"")</f>
        <v/>
      </c>
      <c r="D300" s="10">
        <f>IF(A300&lt;=$B$8*12,(D299+B300)*(1+$B$9),"")</f>
        <v/>
      </c>
      <c r="E300" s="10">
        <f>IF(A300&lt;=$B$8*12,D300-$B$6-IFERROR(D299,$B$7),"")</f>
        <v/>
      </c>
      <c r="F300" s="10">
        <f>IF(A300&lt;=$B$8*12,D300*$B$9,"")</f>
        <v/>
      </c>
    </row>
    <row r="301">
      <c r="A301" s="9" t="n">
        <v>278</v>
      </c>
      <c r="B301" s="10">
        <f>IF(A301&lt;=$B$8*12,$B$6,"")</f>
        <v/>
      </c>
      <c r="C301" s="10">
        <f>IF(A301&lt;=$B$8*12,C300+B301,"")</f>
        <v/>
      </c>
      <c r="D301" s="10">
        <f>IF(A301&lt;=$B$8*12,(D300+B301)*(1+$B$9),"")</f>
        <v/>
      </c>
      <c r="E301" s="10">
        <f>IF(A301&lt;=$B$8*12,D301-$B$6-IFERROR(D300,$B$7),"")</f>
        <v/>
      </c>
      <c r="F301" s="10">
        <f>IF(A301&lt;=$B$8*12,D301*$B$9,"")</f>
        <v/>
      </c>
    </row>
    <row r="302">
      <c r="A302" s="9" t="n">
        <v>279</v>
      </c>
      <c r="B302" s="10">
        <f>IF(A302&lt;=$B$8*12,$B$6,"")</f>
        <v/>
      </c>
      <c r="C302" s="10">
        <f>IF(A302&lt;=$B$8*12,C301+B302,"")</f>
        <v/>
      </c>
      <c r="D302" s="10">
        <f>IF(A302&lt;=$B$8*12,(D301+B302)*(1+$B$9),"")</f>
        <v/>
      </c>
      <c r="E302" s="10">
        <f>IF(A302&lt;=$B$8*12,D302-$B$6-IFERROR(D301,$B$7),"")</f>
        <v/>
      </c>
      <c r="F302" s="10">
        <f>IF(A302&lt;=$B$8*12,D302*$B$9,"")</f>
        <v/>
      </c>
    </row>
    <row r="303">
      <c r="A303" s="9" t="n">
        <v>280</v>
      </c>
      <c r="B303" s="10">
        <f>IF(A303&lt;=$B$8*12,$B$6,"")</f>
        <v/>
      </c>
      <c r="C303" s="10">
        <f>IF(A303&lt;=$B$8*12,C302+B303,"")</f>
        <v/>
      </c>
      <c r="D303" s="10">
        <f>IF(A303&lt;=$B$8*12,(D302+B303)*(1+$B$9),"")</f>
        <v/>
      </c>
      <c r="E303" s="10">
        <f>IF(A303&lt;=$B$8*12,D303-$B$6-IFERROR(D302,$B$7),"")</f>
        <v/>
      </c>
      <c r="F303" s="10">
        <f>IF(A303&lt;=$B$8*12,D303*$B$9,"")</f>
        <v/>
      </c>
    </row>
    <row r="304">
      <c r="A304" s="9" t="n">
        <v>281</v>
      </c>
      <c r="B304" s="10">
        <f>IF(A304&lt;=$B$8*12,$B$6,"")</f>
        <v/>
      </c>
      <c r="C304" s="10">
        <f>IF(A304&lt;=$B$8*12,C303+B304,"")</f>
        <v/>
      </c>
      <c r="D304" s="10">
        <f>IF(A304&lt;=$B$8*12,(D303+B304)*(1+$B$9),"")</f>
        <v/>
      </c>
      <c r="E304" s="10">
        <f>IF(A304&lt;=$B$8*12,D304-$B$6-IFERROR(D303,$B$7),"")</f>
        <v/>
      </c>
      <c r="F304" s="10">
        <f>IF(A304&lt;=$B$8*12,D304*$B$9,"")</f>
        <v/>
      </c>
    </row>
    <row r="305">
      <c r="A305" s="9" t="n">
        <v>282</v>
      </c>
      <c r="B305" s="10">
        <f>IF(A305&lt;=$B$8*12,$B$6,"")</f>
        <v/>
      </c>
      <c r="C305" s="10">
        <f>IF(A305&lt;=$B$8*12,C304+B305,"")</f>
        <v/>
      </c>
      <c r="D305" s="10">
        <f>IF(A305&lt;=$B$8*12,(D304+B305)*(1+$B$9),"")</f>
        <v/>
      </c>
      <c r="E305" s="10">
        <f>IF(A305&lt;=$B$8*12,D305-$B$6-IFERROR(D304,$B$7),"")</f>
        <v/>
      </c>
      <c r="F305" s="10">
        <f>IF(A305&lt;=$B$8*12,D305*$B$9,"")</f>
        <v/>
      </c>
    </row>
    <row r="306">
      <c r="A306" s="9" t="n">
        <v>283</v>
      </c>
      <c r="B306" s="10">
        <f>IF(A306&lt;=$B$8*12,$B$6,"")</f>
        <v/>
      </c>
      <c r="C306" s="10">
        <f>IF(A306&lt;=$B$8*12,C305+B306,"")</f>
        <v/>
      </c>
      <c r="D306" s="10">
        <f>IF(A306&lt;=$B$8*12,(D305+B306)*(1+$B$9),"")</f>
        <v/>
      </c>
      <c r="E306" s="10">
        <f>IF(A306&lt;=$B$8*12,D306-$B$6-IFERROR(D305,$B$7),"")</f>
        <v/>
      </c>
      <c r="F306" s="10">
        <f>IF(A306&lt;=$B$8*12,D306*$B$9,"")</f>
        <v/>
      </c>
    </row>
    <row r="307">
      <c r="A307" s="9" t="n">
        <v>284</v>
      </c>
      <c r="B307" s="10">
        <f>IF(A307&lt;=$B$8*12,$B$6,"")</f>
        <v/>
      </c>
      <c r="C307" s="10">
        <f>IF(A307&lt;=$B$8*12,C306+B307,"")</f>
        <v/>
      </c>
      <c r="D307" s="10">
        <f>IF(A307&lt;=$B$8*12,(D306+B307)*(1+$B$9),"")</f>
        <v/>
      </c>
      <c r="E307" s="10">
        <f>IF(A307&lt;=$B$8*12,D307-$B$6-IFERROR(D306,$B$7),"")</f>
        <v/>
      </c>
      <c r="F307" s="10">
        <f>IF(A307&lt;=$B$8*12,D307*$B$9,"")</f>
        <v/>
      </c>
    </row>
    <row r="308">
      <c r="A308" s="9" t="n">
        <v>285</v>
      </c>
      <c r="B308" s="10">
        <f>IF(A308&lt;=$B$8*12,$B$6,"")</f>
        <v/>
      </c>
      <c r="C308" s="10">
        <f>IF(A308&lt;=$B$8*12,C307+B308,"")</f>
        <v/>
      </c>
      <c r="D308" s="10">
        <f>IF(A308&lt;=$B$8*12,(D307+B308)*(1+$B$9),"")</f>
        <v/>
      </c>
      <c r="E308" s="10">
        <f>IF(A308&lt;=$B$8*12,D308-$B$6-IFERROR(D307,$B$7),"")</f>
        <v/>
      </c>
      <c r="F308" s="10">
        <f>IF(A308&lt;=$B$8*12,D308*$B$9,"")</f>
        <v/>
      </c>
    </row>
    <row r="309">
      <c r="A309" s="9" t="n">
        <v>286</v>
      </c>
      <c r="B309" s="10">
        <f>IF(A309&lt;=$B$8*12,$B$6,"")</f>
        <v/>
      </c>
      <c r="C309" s="10">
        <f>IF(A309&lt;=$B$8*12,C308+B309,"")</f>
        <v/>
      </c>
      <c r="D309" s="10">
        <f>IF(A309&lt;=$B$8*12,(D308+B309)*(1+$B$9),"")</f>
        <v/>
      </c>
      <c r="E309" s="10">
        <f>IF(A309&lt;=$B$8*12,D309-$B$6-IFERROR(D308,$B$7),"")</f>
        <v/>
      </c>
      <c r="F309" s="10">
        <f>IF(A309&lt;=$B$8*12,D309*$B$9,"")</f>
        <v/>
      </c>
    </row>
    <row r="310">
      <c r="A310" s="9" t="n">
        <v>287</v>
      </c>
      <c r="B310" s="10">
        <f>IF(A310&lt;=$B$8*12,$B$6,"")</f>
        <v/>
      </c>
      <c r="C310" s="10">
        <f>IF(A310&lt;=$B$8*12,C309+B310,"")</f>
        <v/>
      </c>
      <c r="D310" s="10">
        <f>IF(A310&lt;=$B$8*12,(D309+B310)*(1+$B$9),"")</f>
        <v/>
      </c>
      <c r="E310" s="10">
        <f>IF(A310&lt;=$B$8*12,D310-$B$6-IFERROR(D309,$B$7),"")</f>
        <v/>
      </c>
      <c r="F310" s="10">
        <f>IF(A310&lt;=$B$8*12,D310*$B$9,"")</f>
        <v/>
      </c>
    </row>
    <row r="311">
      <c r="A311" s="9" t="n">
        <v>288</v>
      </c>
      <c r="B311" s="10">
        <f>IF(A311&lt;=$B$8*12,$B$6,"")</f>
        <v/>
      </c>
      <c r="C311" s="10">
        <f>IF(A311&lt;=$B$8*12,C310+B311,"")</f>
        <v/>
      </c>
      <c r="D311" s="10">
        <f>IF(A311&lt;=$B$8*12,(D310+B311)*(1+$B$9),"")</f>
        <v/>
      </c>
      <c r="E311" s="10">
        <f>IF(A311&lt;=$B$8*12,D311-$B$6-IFERROR(D310,$B$7),"")</f>
        <v/>
      </c>
      <c r="F311" s="10">
        <f>IF(A311&lt;=$B$8*12,D311*$B$9,"")</f>
        <v/>
      </c>
    </row>
    <row r="312">
      <c r="A312" s="9" t="n">
        <v>289</v>
      </c>
      <c r="B312" s="10">
        <f>IF(A312&lt;=$B$8*12,$B$6,"")</f>
        <v/>
      </c>
      <c r="C312" s="10">
        <f>IF(A312&lt;=$B$8*12,C311+B312,"")</f>
        <v/>
      </c>
      <c r="D312" s="10">
        <f>IF(A312&lt;=$B$8*12,(D311+B312)*(1+$B$9),"")</f>
        <v/>
      </c>
      <c r="E312" s="10">
        <f>IF(A312&lt;=$B$8*12,D312-$B$6-IFERROR(D311,$B$7),"")</f>
        <v/>
      </c>
      <c r="F312" s="10">
        <f>IF(A312&lt;=$B$8*12,D312*$B$9,"")</f>
        <v/>
      </c>
    </row>
    <row r="313">
      <c r="A313" s="9" t="n">
        <v>290</v>
      </c>
      <c r="B313" s="10">
        <f>IF(A313&lt;=$B$8*12,$B$6,"")</f>
        <v/>
      </c>
      <c r="C313" s="10">
        <f>IF(A313&lt;=$B$8*12,C312+B313,"")</f>
        <v/>
      </c>
      <c r="D313" s="10">
        <f>IF(A313&lt;=$B$8*12,(D312+B313)*(1+$B$9),"")</f>
        <v/>
      </c>
      <c r="E313" s="10">
        <f>IF(A313&lt;=$B$8*12,D313-$B$6-IFERROR(D312,$B$7),"")</f>
        <v/>
      </c>
      <c r="F313" s="10">
        <f>IF(A313&lt;=$B$8*12,D313*$B$9,"")</f>
        <v/>
      </c>
    </row>
    <row r="314">
      <c r="A314" s="9" t="n">
        <v>291</v>
      </c>
      <c r="B314" s="10">
        <f>IF(A314&lt;=$B$8*12,$B$6,"")</f>
        <v/>
      </c>
      <c r="C314" s="10">
        <f>IF(A314&lt;=$B$8*12,C313+B314,"")</f>
        <v/>
      </c>
      <c r="D314" s="10">
        <f>IF(A314&lt;=$B$8*12,(D313+B314)*(1+$B$9),"")</f>
        <v/>
      </c>
      <c r="E314" s="10">
        <f>IF(A314&lt;=$B$8*12,D314-$B$6-IFERROR(D313,$B$7),"")</f>
        <v/>
      </c>
      <c r="F314" s="10">
        <f>IF(A314&lt;=$B$8*12,D314*$B$9,"")</f>
        <v/>
      </c>
    </row>
    <row r="315">
      <c r="A315" s="9" t="n">
        <v>292</v>
      </c>
      <c r="B315" s="10">
        <f>IF(A315&lt;=$B$8*12,$B$6,"")</f>
        <v/>
      </c>
      <c r="C315" s="10">
        <f>IF(A315&lt;=$B$8*12,C314+B315,"")</f>
        <v/>
      </c>
      <c r="D315" s="10">
        <f>IF(A315&lt;=$B$8*12,(D314+B315)*(1+$B$9),"")</f>
        <v/>
      </c>
      <c r="E315" s="10">
        <f>IF(A315&lt;=$B$8*12,D315-$B$6-IFERROR(D314,$B$7),"")</f>
        <v/>
      </c>
      <c r="F315" s="10">
        <f>IF(A315&lt;=$B$8*12,D315*$B$9,"")</f>
        <v/>
      </c>
    </row>
    <row r="316">
      <c r="A316" s="9" t="n">
        <v>293</v>
      </c>
      <c r="B316" s="10">
        <f>IF(A316&lt;=$B$8*12,$B$6,"")</f>
        <v/>
      </c>
      <c r="C316" s="10">
        <f>IF(A316&lt;=$B$8*12,C315+B316,"")</f>
        <v/>
      </c>
      <c r="D316" s="10">
        <f>IF(A316&lt;=$B$8*12,(D315+B316)*(1+$B$9),"")</f>
        <v/>
      </c>
      <c r="E316" s="10">
        <f>IF(A316&lt;=$B$8*12,D316-$B$6-IFERROR(D315,$B$7),"")</f>
        <v/>
      </c>
      <c r="F316" s="10">
        <f>IF(A316&lt;=$B$8*12,D316*$B$9,"")</f>
        <v/>
      </c>
    </row>
    <row r="317">
      <c r="A317" s="9" t="n">
        <v>294</v>
      </c>
      <c r="B317" s="10">
        <f>IF(A317&lt;=$B$8*12,$B$6,"")</f>
        <v/>
      </c>
      <c r="C317" s="10">
        <f>IF(A317&lt;=$B$8*12,C316+B317,"")</f>
        <v/>
      </c>
      <c r="D317" s="10">
        <f>IF(A317&lt;=$B$8*12,(D316+B317)*(1+$B$9),"")</f>
        <v/>
      </c>
      <c r="E317" s="10">
        <f>IF(A317&lt;=$B$8*12,D317-$B$6-IFERROR(D316,$B$7),"")</f>
        <v/>
      </c>
      <c r="F317" s="10">
        <f>IF(A317&lt;=$B$8*12,D317*$B$9,"")</f>
        <v/>
      </c>
    </row>
    <row r="318">
      <c r="A318" s="9" t="n">
        <v>295</v>
      </c>
      <c r="B318" s="10">
        <f>IF(A318&lt;=$B$8*12,$B$6,"")</f>
        <v/>
      </c>
      <c r="C318" s="10">
        <f>IF(A318&lt;=$B$8*12,C317+B318,"")</f>
        <v/>
      </c>
      <c r="D318" s="10">
        <f>IF(A318&lt;=$B$8*12,(D317+B318)*(1+$B$9),"")</f>
        <v/>
      </c>
      <c r="E318" s="10">
        <f>IF(A318&lt;=$B$8*12,D318-$B$6-IFERROR(D317,$B$7),"")</f>
        <v/>
      </c>
      <c r="F318" s="10">
        <f>IF(A318&lt;=$B$8*12,D318*$B$9,"")</f>
        <v/>
      </c>
    </row>
    <row r="319">
      <c r="A319" s="9" t="n">
        <v>296</v>
      </c>
      <c r="B319" s="10">
        <f>IF(A319&lt;=$B$8*12,$B$6,"")</f>
        <v/>
      </c>
      <c r="C319" s="10">
        <f>IF(A319&lt;=$B$8*12,C318+B319,"")</f>
        <v/>
      </c>
      <c r="D319" s="10">
        <f>IF(A319&lt;=$B$8*12,(D318+B319)*(1+$B$9),"")</f>
        <v/>
      </c>
      <c r="E319" s="10">
        <f>IF(A319&lt;=$B$8*12,D319-$B$6-IFERROR(D318,$B$7),"")</f>
        <v/>
      </c>
      <c r="F319" s="10">
        <f>IF(A319&lt;=$B$8*12,D319*$B$9,"")</f>
        <v/>
      </c>
    </row>
    <row r="320">
      <c r="A320" s="9" t="n">
        <v>297</v>
      </c>
      <c r="B320" s="10">
        <f>IF(A320&lt;=$B$8*12,$B$6,"")</f>
        <v/>
      </c>
      <c r="C320" s="10">
        <f>IF(A320&lt;=$B$8*12,C319+B320,"")</f>
        <v/>
      </c>
      <c r="D320" s="10">
        <f>IF(A320&lt;=$B$8*12,(D319+B320)*(1+$B$9),"")</f>
        <v/>
      </c>
      <c r="E320" s="10">
        <f>IF(A320&lt;=$B$8*12,D320-$B$6-IFERROR(D319,$B$7),"")</f>
        <v/>
      </c>
      <c r="F320" s="10">
        <f>IF(A320&lt;=$B$8*12,D320*$B$9,"")</f>
        <v/>
      </c>
    </row>
    <row r="321">
      <c r="A321" s="9" t="n">
        <v>298</v>
      </c>
      <c r="B321" s="10">
        <f>IF(A321&lt;=$B$8*12,$B$6,"")</f>
        <v/>
      </c>
      <c r="C321" s="10">
        <f>IF(A321&lt;=$B$8*12,C320+B321,"")</f>
        <v/>
      </c>
      <c r="D321" s="10">
        <f>IF(A321&lt;=$B$8*12,(D320+B321)*(1+$B$9),"")</f>
        <v/>
      </c>
      <c r="E321" s="10">
        <f>IF(A321&lt;=$B$8*12,D321-$B$6-IFERROR(D320,$B$7),"")</f>
        <v/>
      </c>
      <c r="F321" s="10">
        <f>IF(A321&lt;=$B$8*12,D321*$B$9,"")</f>
        <v/>
      </c>
    </row>
    <row r="322">
      <c r="A322" s="9" t="n">
        <v>299</v>
      </c>
      <c r="B322" s="10">
        <f>IF(A322&lt;=$B$8*12,$B$6,"")</f>
        <v/>
      </c>
      <c r="C322" s="10">
        <f>IF(A322&lt;=$B$8*12,C321+B322,"")</f>
        <v/>
      </c>
      <c r="D322" s="10">
        <f>IF(A322&lt;=$B$8*12,(D321+B322)*(1+$B$9),"")</f>
        <v/>
      </c>
      <c r="E322" s="10">
        <f>IF(A322&lt;=$B$8*12,D322-$B$6-IFERROR(D321,$B$7),"")</f>
        <v/>
      </c>
      <c r="F322" s="10">
        <f>IF(A322&lt;=$B$8*12,D322*$B$9,"")</f>
        <v/>
      </c>
    </row>
    <row r="323">
      <c r="A323" s="9" t="n">
        <v>300</v>
      </c>
      <c r="B323" s="10">
        <f>IF(A323&lt;=$B$8*12,$B$6,"")</f>
        <v/>
      </c>
      <c r="C323" s="10">
        <f>IF(A323&lt;=$B$8*12,C322+B323,"")</f>
        <v/>
      </c>
      <c r="D323" s="10">
        <f>IF(A323&lt;=$B$8*12,(D322+B323)*(1+$B$9),"")</f>
        <v/>
      </c>
      <c r="E323" s="10">
        <f>IF(A323&lt;=$B$8*12,D323-$B$6-IFERROR(D322,$B$7),"")</f>
        <v/>
      </c>
      <c r="F323" s="10">
        <f>IF(A323&lt;=$B$8*12,D323*$B$9,"")</f>
        <v/>
      </c>
    </row>
    <row r="324">
      <c r="A324" s="9" t="n">
        <v>301</v>
      </c>
      <c r="B324" s="10">
        <f>IF(A324&lt;=$B$8*12,$B$6,"")</f>
        <v/>
      </c>
      <c r="C324" s="10">
        <f>IF(A324&lt;=$B$8*12,C323+B324,"")</f>
        <v/>
      </c>
      <c r="D324" s="10">
        <f>IF(A324&lt;=$B$8*12,(D323+B324)*(1+$B$9),"")</f>
        <v/>
      </c>
      <c r="E324" s="10">
        <f>IF(A324&lt;=$B$8*12,D324-$B$6-IFERROR(D323,$B$7),"")</f>
        <v/>
      </c>
      <c r="F324" s="10">
        <f>IF(A324&lt;=$B$8*12,D324*$B$9,"")</f>
        <v/>
      </c>
    </row>
    <row r="325">
      <c r="A325" s="9" t="n">
        <v>302</v>
      </c>
      <c r="B325" s="10">
        <f>IF(A325&lt;=$B$8*12,$B$6,"")</f>
        <v/>
      </c>
      <c r="C325" s="10">
        <f>IF(A325&lt;=$B$8*12,C324+B325,"")</f>
        <v/>
      </c>
      <c r="D325" s="10">
        <f>IF(A325&lt;=$B$8*12,(D324+B325)*(1+$B$9),"")</f>
        <v/>
      </c>
      <c r="E325" s="10">
        <f>IF(A325&lt;=$B$8*12,D325-$B$6-IFERROR(D324,$B$7),"")</f>
        <v/>
      </c>
      <c r="F325" s="10">
        <f>IF(A325&lt;=$B$8*12,D325*$B$9,"")</f>
        <v/>
      </c>
    </row>
    <row r="326">
      <c r="A326" s="9" t="n">
        <v>303</v>
      </c>
      <c r="B326" s="10">
        <f>IF(A326&lt;=$B$8*12,$B$6,"")</f>
        <v/>
      </c>
      <c r="C326" s="10">
        <f>IF(A326&lt;=$B$8*12,C325+B326,"")</f>
        <v/>
      </c>
      <c r="D326" s="10">
        <f>IF(A326&lt;=$B$8*12,(D325+B326)*(1+$B$9),"")</f>
        <v/>
      </c>
      <c r="E326" s="10">
        <f>IF(A326&lt;=$B$8*12,D326-$B$6-IFERROR(D325,$B$7),"")</f>
        <v/>
      </c>
      <c r="F326" s="10">
        <f>IF(A326&lt;=$B$8*12,D326*$B$9,"")</f>
        <v/>
      </c>
    </row>
    <row r="327">
      <c r="A327" s="9" t="n">
        <v>304</v>
      </c>
      <c r="B327" s="10">
        <f>IF(A327&lt;=$B$8*12,$B$6,"")</f>
        <v/>
      </c>
      <c r="C327" s="10">
        <f>IF(A327&lt;=$B$8*12,C326+B327,"")</f>
        <v/>
      </c>
      <c r="D327" s="10">
        <f>IF(A327&lt;=$B$8*12,(D326+B327)*(1+$B$9),"")</f>
        <v/>
      </c>
      <c r="E327" s="10">
        <f>IF(A327&lt;=$B$8*12,D327-$B$6-IFERROR(D326,$B$7),"")</f>
        <v/>
      </c>
      <c r="F327" s="10">
        <f>IF(A327&lt;=$B$8*12,D327*$B$9,"")</f>
        <v/>
      </c>
    </row>
    <row r="328">
      <c r="A328" s="9" t="n">
        <v>305</v>
      </c>
      <c r="B328" s="10">
        <f>IF(A328&lt;=$B$8*12,$B$6,"")</f>
        <v/>
      </c>
      <c r="C328" s="10">
        <f>IF(A328&lt;=$B$8*12,C327+B328,"")</f>
        <v/>
      </c>
      <c r="D328" s="10">
        <f>IF(A328&lt;=$B$8*12,(D327+B328)*(1+$B$9),"")</f>
        <v/>
      </c>
      <c r="E328" s="10">
        <f>IF(A328&lt;=$B$8*12,D328-$B$6-IFERROR(D327,$B$7),"")</f>
        <v/>
      </c>
      <c r="F328" s="10">
        <f>IF(A328&lt;=$B$8*12,D328*$B$9,"")</f>
        <v/>
      </c>
    </row>
    <row r="329">
      <c r="A329" s="9" t="n">
        <v>306</v>
      </c>
      <c r="B329" s="10">
        <f>IF(A329&lt;=$B$8*12,$B$6,"")</f>
        <v/>
      </c>
      <c r="C329" s="10">
        <f>IF(A329&lt;=$B$8*12,C328+B329,"")</f>
        <v/>
      </c>
      <c r="D329" s="10">
        <f>IF(A329&lt;=$B$8*12,(D328+B329)*(1+$B$9),"")</f>
        <v/>
      </c>
      <c r="E329" s="10">
        <f>IF(A329&lt;=$B$8*12,D329-$B$6-IFERROR(D328,$B$7),"")</f>
        <v/>
      </c>
      <c r="F329" s="10">
        <f>IF(A329&lt;=$B$8*12,D329*$B$9,"")</f>
        <v/>
      </c>
    </row>
    <row r="330">
      <c r="A330" s="9" t="n">
        <v>307</v>
      </c>
      <c r="B330" s="10">
        <f>IF(A330&lt;=$B$8*12,$B$6,"")</f>
        <v/>
      </c>
      <c r="C330" s="10">
        <f>IF(A330&lt;=$B$8*12,C329+B330,"")</f>
        <v/>
      </c>
      <c r="D330" s="10">
        <f>IF(A330&lt;=$B$8*12,(D329+B330)*(1+$B$9),"")</f>
        <v/>
      </c>
      <c r="E330" s="10">
        <f>IF(A330&lt;=$B$8*12,D330-$B$6-IFERROR(D329,$B$7),"")</f>
        <v/>
      </c>
      <c r="F330" s="10">
        <f>IF(A330&lt;=$B$8*12,D330*$B$9,"")</f>
        <v/>
      </c>
    </row>
    <row r="331">
      <c r="A331" s="9" t="n">
        <v>308</v>
      </c>
      <c r="B331" s="10">
        <f>IF(A331&lt;=$B$8*12,$B$6,"")</f>
        <v/>
      </c>
      <c r="C331" s="10">
        <f>IF(A331&lt;=$B$8*12,C330+B331,"")</f>
        <v/>
      </c>
      <c r="D331" s="10">
        <f>IF(A331&lt;=$B$8*12,(D330+B331)*(1+$B$9),"")</f>
        <v/>
      </c>
      <c r="E331" s="10">
        <f>IF(A331&lt;=$B$8*12,D331-$B$6-IFERROR(D330,$B$7),"")</f>
        <v/>
      </c>
      <c r="F331" s="10">
        <f>IF(A331&lt;=$B$8*12,D331*$B$9,"")</f>
        <v/>
      </c>
    </row>
    <row r="332">
      <c r="A332" s="9" t="n">
        <v>309</v>
      </c>
      <c r="B332" s="10">
        <f>IF(A332&lt;=$B$8*12,$B$6,"")</f>
        <v/>
      </c>
      <c r="C332" s="10">
        <f>IF(A332&lt;=$B$8*12,C331+B332,"")</f>
        <v/>
      </c>
      <c r="D332" s="10">
        <f>IF(A332&lt;=$B$8*12,(D331+B332)*(1+$B$9),"")</f>
        <v/>
      </c>
      <c r="E332" s="10">
        <f>IF(A332&lt;=$B$8*12,D332-$B$6-IFERROR(D331,$B$7),"")</f>
        <v/>
      </c>
      <c r="F332" s="10">
        <f>IF(A332&lt;=$B$8*12,D332*$B$9,"")</f>
        <v/>
      </c>
    </row>
    <row r="333">
      <c r="A333" s="9" t="n">
        <v>310</v>
      </c>
      <c r="B333" s="10">
        <f>IF(A333&lt;=$B$8*12,$B$6,"")</f>
        <v/>
      </c>
      <c r="C333" s="10">
        <f>IF(A333&lt;=$B$8*12,C332+B333,"")</f>
        <v/>
      </c>
      <c r="D333" s="10">
        <f>IF(A333&lt;=$B$8*12,(D332+B333)*(1+$B$9),"")</f>
        <v/>
      </c>
      <c r="E333" s="10">
        <f>IF(A333&lt;=$B$8*12,D333-$B$6-IFERROR(D332,$B$7),"")</f>
        <v/>
      </c>
      <c r="F333" s="10">
        <f>IF(A333&lt;=$B$8*12,D333*$B$9,"")</f>
        <v/>
      </c>
    </row>
    <row r="334">
      <c r="A334" s="9" t="n">
        <v>311</v>
      </c>
      <c r="B334" s="10">
        <f>IF(A334&lt;=$B$8*12,$B$6,"")</f>
        <v/>
      </c>
      <c r="C334" s="10">
        <f>IF(A334&lt;=$B$8*12,C333+B334,"")</f>
        <v/>
      </c>
      <c r="D334" s="10">
        <f>IF(A334&lt;=$B$8*12,(D333+B334)*(1+$B$9),"")</f>
        <v/>
      </c>
      <c r="E334" s="10">
        <f>IF(A334&lt;=$B$8*12,D334-$B$6-IFERROR(D333,$B$7),"")</f>
        <v/>
      </c>
      <c r="F334" s="10">
        <f>IF(A334&lt;=$B$8*12,D334*$B$9,"")</f>
        <v/>
      </c>
    </row>
    <row r="335">
      <c r="A335" s="9" t="n">
        <v>312</v>
      </c>
      <c r="B335" s="10">
        <f>IF(A335&lt;=$B$8*12,$B$6,"")</f>
        <v/>
      </c>
      <c r="C335" s="10">
        <f>IF(A335&lt;=$B$8*12,C334+B335,"")</f>
        <v/>
      </c>
      <c r="D335" s="10">
        <f>IF(A335&lt;=$B$8*12,(D334+B335)*(1+$B$9),"")</f>
        <v/>
      </c>
      <c r="E335" s="10">
        <f>IF(A335&lt;=$B$8*12,D335-$B$6-IFERROR(D334,$B$7),"")</f>
        <v/>
      </c>
      <c r="F335" s="10">
        <f>IF(A335&lt;=$B$8*12,D335*$B$9,"")</f>
        <v/>
      </c>
    </row>
    <row r="336">
      <c r="A336" s="9" t="n">
        <v>313</v>
      </c>
      <c r="B336" s="10">
        <f>IF(A336&lt;=$B$8*12,$B$6,"")</f>
        <v/>
      </c>
      <c r="C336" s="10">
        <f>IF(A336&lt;=$B$8*12,C335+B336,"")</f>
        <v/>
      </c>
      <c r="D336" s="10">
        <f>IF(A336&lt;=$B$8*12,(D335+B336)*(1+$B$9),"")</f>
        <v/>
      </c>
      <c r="E336" s="10">
        <f>IF(A336&lt;=$B$8*12,D336-$B$6-IFERROR(D335,$B$7),"")</f>
        <v/>
      </c>
      <c r="F336" s="10">
        <f>IF(A336&lt;=$B$8*12,D336*$B$9,"")</f>
        <v/>
      </c>
    </row>
    <row r="337">
      <c r="A337" s="9" t="n">
        <v>314</v>
      </c>
      <c r="B337" s="10">
        <f>IF(A337&lt;=$B$8*12,$B$6,"")</f>
        <v/>
      </c>
      <c r="C337" s="10">
        <f>IF(A337&lt;=$B$8*12,C336+B337,"")</f>
        <v/>
      </c>
      <c r="D337" s="10">
        <f>IF(A337&lt;=$B$8*12,(D336+B337)*(1+$B$9),"")</f>
        <v/>
      </c>
      <c r="E337" s="10">
        <f>IF(A337&lt;=$B$8*12,D337-$B$6-IFERROR(D336,$B$7),"")</f>
        <v/>
      </c>
      <c r="F337" s="10">
        <f>IF(A337&lt;=$B$8*12,D337*$B$9,"")</f>
        <v/>
      </c>
    </row>
    <row r="338">
      <c r="A338" s="9" t="n">
        <v>315</v>
      </c>
      <c r="B338" s="10">
        <f>IF(A338&lt;=$B$8*12,$B$6,"")</f>
        <v/>
      </c>
      <c r="C338" s="10">
        <f>IF(A338&lt;=$B$8*12,C337+B338,"")</f>
        <v/>
      </c>
      <c r="D338" s="10">
        <f>IF(A338&lt;=$B$8*12,(D337+B338)*(1+$B$9),"")</f>
        <v/>
      </c>
      <c r="E338" s="10">
        <f>IF(A338&lt;=$B$8*12,D338-$B$6-IFERROR(D337,$B$7),"")</f>
        <v/>
      </c>
      <c r="F338" s="10">
        <f>IF(A338&lt;=$B$8*12,D338*$B$9,"")</f>
        <v/>
      </c>
    </row>
    <row r="339">
      <c r="A339" s="9" t="n">
        <v>316</v>
      </c>
      <c r="B339" s="10">
        <f>IF(A339&lt;=$B$8*12,$B$6,"")</f>
        <v/>
      </c>
      <c r="C339" s="10">
        <f>IF(A339&lt;=$B$8*12,C338+B339,"")</f>
        <v/>
      </c>
      <c r="D339" s="10">
        <f>IF(A339&lt;=$B$8*12,(D338+B339)*(1+$B$9),"")</f>
        <v/>
      </c>
      <c r="E339" s="10">
        <f>IF(A339&lt;=$B$8*12,D339-$B$6-IFERROR(D338,$B$7),"")</f>
        <v/>
      </c>
      <c r="F339" s="10">
        <f>IF(A339&lt;=$B$8*12,D339*$B$9,"")</f>
        <v/>
      </c>
    </row>
    <row r="340">
      <c r="A340" s="9" t="n">
        <v>317</v>
      </c>
      <c r="B340" s="10">
        <f>IF(A340&lt;=$B$8*12,$B$6,"")</f>
        <v/>
      </c>
      <c r="C340" s="10">
        <f>IF(A340&lt;=$B$8*12,C339+B340,"")</f>
        <v/>
      </c>
      <c r="D340" s="10">
        <f>IF(A340&lt;=$B$8*12,(D339+B340)*(1+$B$9),"")</f>
        <v/>
      </c>
      <c r="E340" s="10">
        <f>IF(A340&lt;=$B$8*12,D340-$B$6-IFERROR(D339,$B$7),"")</f>
        <v/>
      </c>
      <c r="F340" s="10">
        <f>IF(A340&lt;=$B$8*12,D340*$B$9,"")</f>
        <v/>
      </c>
    </row>
    <row r="341">
      <c r="A341" s="9" t="n">
        <v>318</v>
      </c>
      <c r="B341" s="10">
        <f>IF(A341&lt;=$B$8*12,$B$6,"")</f>
        <v/>
      </c>
      <c r="C341" s="10">
        <f>IF(A341&lt;=$B$8*12,C340+B341,"")</f>
        <v/>
      </c>
      <c r="D341" s="10">
        <f>IF(A341&lt;=$B$8*12,(D340+B341)*(1+$B$9),"")</f>
        <v/>
      </c>
      <c r="E341" s="10">
        <f>IF(A341&lt;=$B$8*12,D341-$B$6-IFERROR(D340,$B$7),"")</f>
        <v/>
      </c>
      <c r="F341" s="10">
        <f>IF(A341&lt;=$B$8*12,D341*$B$9,"")</f>
        <v/>
      </c>
    </row>
    <row r="342">
      <c r="A342" s="9" t="n">
        <v>319</v>
      </c>
      <c r="B342" s="10">
        <f>IF(A342&lt;=$B$8*12,$B$6,"")</f>
        <v/>
      </c>
      <c r="C342" s="10">
        <f>IF(A342&lt;=$B$8*12,C341+B342,"")</f>
        <v/>
      </c>
      <c r="D342" s="10">
        <f>IF(A342&lt;=$B$8*12,(D341+B342)*(1+$B$9),"")</f>
        <v/>
      </c>
      <c r="E342" s="10">
        <f>IF(A342&lt;=$B$8*12,D342-$B$6-IFERROR(D341,$B$7),"")</f>
        <v/>
      </c>
      <c r="F342" s="10">
        <f>IF(A342&lt;=$B$8*12,D342*$B$9,"")</f>
        <v/>
      </c>
    </row>
    <row r="343">
      <c r="A343" s="9" t="n">
        <v>320</v>
      </c>
      <c r="B343" s="10">
        <f>IF(A343&lt;=$B$8*12,$B$6,"")</f>
        <v/>
      </c>
      <c r="C343" s="10">
        <f>IF(A343&lt;=$B$8*12,C342+B343,"")</f>
        <v/>
      </c>
      <c r="D343" s="10">
        <f>IF(A343&lt;=$B$8*12,(D342+B343)*(1+$B$9),"")</f>
        <v/>
      </c>
      <c r="E343" s="10">
        <f>IF(A343&lt;=$B$8*12,D343-$B$6-IFERROR(D342,$B$7),"")</f>
        <v/>
      </c>
      <c r="F343" s="10">
        <f>IF(A343&lt;=$B$8*12,D343*$B$9,"")</f>
        <v/>
      </c>
    </row>
    <row r="344">
      <c r="A344" s="9" t="n">
        <v>321</v>
      </c>
      <c r="B344" s="10">
        <f>IF(A344&lt;=$B$8*12,$B$6,"")</f>
        <v/>
      </c>
      <c r="C344" s="10">
        <f>IF(A344&lt;=$B$8*12,C343+B344,"")</f>
        <v/>
      </c>
      <c r="D344" s="10">
        <f>IF(A344&lt;=$B$8*12,(D343+B344)*(1+$B$9),"")</f>
        <v/>
      </c>
      <c r="E344" s="10">
        <f>IF(A344&lt;=$B$8*12,D344-$B$6-IFERROR(D343,$B$7),"")</f>
        <v/>
      </c>
      <c r="F344" s="10">
        <f>IF(A344&lt;=$B$8*12,D344*$B$9,"")</f>
        <v/>
      </c>
    </row>
    <row r="345">
      <c r="A345" s="9" t="n">
        <v>322</v>
      </c>
      <c r="B345" s="10">
        <f>IF(A345&lt;=$B$8*12,$B$6,"")</f>
        <v/>
      </c>
      <c r="C345" s="10">
        <f>IF(A345&lt;=$B$8*12,C344+B345,"")</f>
        <v/>
      </c>
      <c r="D345" s="10">
        <f>IF(A345&lt;=$B$8*12,(D344+B345)*(1+$B$9),"")</f>
        <v/>
      </c>
      <c r="E345" s="10">
        <f>IF(A345&lt;=$B$8*12,D345-$B$6-IFERROR(D344,$B$7),"")</f>
        <v/>
      </c>
      <c r="F345" s="10">
        <f>IF(A345&lt;=$B$8*12,D345*$B$9,"")</f>
        <v/>
      </c>
    </row>
    <row r="346">
      <c r="A346" s="9" t="n">
        <v>323</v>
      </c>
      <c r="B346" s="10">
        <f>IF(A346&lt;=$B$8*12,$B$6,"")</f>
        <v/>
      </c>
      <c r="C346" s="10">
        <f>IF(A346&lt;=$B$8*12,C345+B346,"")</f>
        <v/>
      </c>
      <c r="D346" s="10">
        <f>IF(A346&lt;=$B$8*12,(D345+B346)*(1+$B$9),"")</f>
        <v/>
      </c>
      <c r="E346" s="10">
        <f>IF(A346&lt;=$B$8*12,D346-$B$6-IFERROR(D345,$B$7),"")</f>
        <v/>
      </c>
      <c r="F346" s="10">
        <f>IF(A346&lt;=$B$8*12,D346*$B$9,"")</f>
        <v/>
      </c>
    </row>
    <row r="347">
      <c r="A347" s="9" t="n">
        <v>324</v>
      </c>
      <c r="B347" s="10">
        <f>IF(A347&lt;=$B$8*12,$B$6,"")</f>
        <v/>
      </c>
      <c r="C347" s="10">
        <f>IF(A347&lt;=$B$8*12,C346+B347,"")</f>
        <v/>
      </c>
      <c r="D347" s="10">
        <f>IF(A347&lt;=$B$8*12,(D346+B347)*(1+$B$9),"")</f>
        <v/>
      </c>
      <c r="E347" s="10">
        <f>IF(A347&lt;=$B$8*12,D347-$B$6-IFERROR(D346,$B$7),"")</f>
        <v/>
      </c>
      <c r="F347" s="10">
        <f>IF(A347&lt;=$B$8*12,D347*$B$9,"")</f>
        <v/>
      </c>
    </row>
    <row r="348">
      <c r="A348" s="9" t="n">
        <v>325</v>
      </c>
      <c r="B348" s="10">
        <f>IF(A348&lt;=$B$8*12,$B$6,"")</f>
        <v/>
      </c>
      <c r="C348" s="10">
        <f>IF(A348&lt;=$B$8*12,C347+B348,"")</f>
        <v/>
      </c>
      <c r="D348" s="10">
        <f>IF(A348&lt;=$B$8*12,(D347+B348)*(1+$B$9),"")</f>
        <v/>
      </c>
      <c r="E348" s="10">
        <f>IF(A348&lt;=$B$8*12,D348-$B$6-IFERROR(D347,$B$7),"")</f>
        <v/>
      </c>
      <c r="F348" s="10">
        <f>IF(A348&lt;=$B$8*12,D348*$B$9,"")</f>
        <v/>
      </c>
    </row>
    <row r="349">
      <c r="A349" s="9" t="n">
        <v>326</v>
      </c>
      <c r="B349" s="10">
        <f>IF(A349&lt;=$B$8*12,$B$6,"")</f>
        <v/>
      </c>
      <c r="C349" s="10">
        <f>IF(A349&lt;=$B$8*12,C348+B349,"")</f>
        <v/>
      </c>
      <c r="D349" s="10">
        <f>IF(A349&lt;=$B$8*12,(D348+B349)*(1+$B$9),"")</f>
        <v/>
      </c>
      <c r="E349" s="10">
        <f>IF(A349&lt;=$B$8*12,D349-$B$6-IFERROR(D348,$B$7),"")</f>
        <v/>
      </c>
      <c r="F349" s="10">
        <f>IF(A349&lt;=$B$8*12,D349*$B$9,"")</f>
        <v/>
      </c>
    </row>
    <row r="350">
      <c r="A350" s="9" t="n">
        <v>327</v>
      </c>
      <c r="B350" s="10">
        <f>IF(A350&lt;=$B$8*12,$B$6,"")</f>
        <v/>
      </c>
      <c r="C350" s="10">
        <f>IF(A350&lt;=$B$8*12,C349+B350,"")</f>
        <v/>
      </c>
      <c r="D350" s="10">
        <f>IF(A350&lt;=$B$8*12,(D349+B350)*(1+$B$9),"")</f>
        <v/>
      </c>
      <c r="E350" s="10">
        <f>IF(A350&lt;=$B$8*12,D350-$B$6-IFERROR(D349,$B$7),"")</f>
        <v/>
      </c>
      <c r="F350" s="10">
        <f>IF(A350&lt;=$B$8*12,D350*$B$9,"")</f>
        <v/>
      </c>
    </row>
    <row r="351">
      <c r="A351" s="9" t="n">
        <v>328</v>
      </c>
      <c r="B351" s="10">
        <f>IF(A351&lt;=$B$8*12,$B$6,"")</f>
        <v/>
      </c>
      <c r="C351" s="10">
        <f>IF(A351&lt;=$B$8*12,C350+B351,"")</f>
        <v/>
      </c>
      <c r="D351" s="10">
        <f>IF(A351&lt;=$B$8*12,(D350+B351)*(1+$B$9),"")</f>
        <v/>
      </c>
      <c r="E351" s="10">
        <f>IF(A351&lt;=$B$8*12,D351-$B$6-IFERROR(D350,$B$7),"")</f>
        <v/>
      </c>
      <c r="F351" s="10">
        <f>IF(A351&lt;=$B$8*12,D351*$B$9,"")</f>
        <v/>
      </c>
    </row>
    <row r="352">
      <c r="A352" s="9" t="n">
        <v>329</v>
      </c>
      <c r="B352" s="10">
        <f>IF(A352&lt;=$B$8*12,$B$6,"")</f>
        <v/>
      </c>
      <c r="C352" s="10">
        <f>IF(A352&lt;=$B$8*12,C351+B352,"")</f>
        <v/>
      </c>
      <c r="D352" s="10">
        <f>IF(A352&lt;=$B$8*12,(D351+B352)*(1+$B$9),"")</f>
        <v/>
      </c>
      <c r="E352" s="10">
        <f>IF(A352&lt;=$B$8*12,D352-$B$6-IFERROR(D351,$B$7),"")</f>
        <v/>
      </c>
      <c r="F352" s="10">
        <f>IF(A352&lt;=$B$8*12,D352*$B$9,"")</f>
        <v/>
      </c>
    </row>
    <row r="353">
      <c r="A353" s="9" t="n">
        <v>330</v>
      </c>
      <c r="B353" s="10">
        <f>IF(A353&lt;=$B$8*12,$B$6,"")</f>
        <v/>
      </c>
      <c r="C353" s="10">
        <f>IF(A353&lt;=$B$8*12,C352+B353,"")</f>
        <v/>
      </c>
      <c r="D353" s="10">
        <f>IF(A353&lt;=$B$8*12,(D352+B353)*(1+$B$9),"")</f>
        <v/>
      </c>
      <c r="E353" s="10">
        <f>IF(A353&lt;=$B$8*12,D353-$B$6-IFERROR(D352,$B$7),"")</f>
        <v/>
      </c>
      <c r="F353" s="10">
        <f>IF(A353&lt;=$B$8*12,D353*$B$9,"")</f>
        <v/>
      </c>
    </row>
    <row r="354">
      <c r="A354" s="9" t="n">
        <v>331</v>
      </c>
      <c r="B354" s="10">
        <f>IF(A354&lt;=$B$8*12,$B$6,"")</f>
        <v/>
      </c>
      <c r="C354" s="10">
        <f>IF(A354&lt;=$B$8*12,C353+B354,"")</f>
        <v/>
      </c>
      <c r="D354" s="10">
        <f>IF(A354&lt;=$B$8*12,(D353+B354)*(1+$B$9),"")</f>
        <v/>
      </c>
      <c r="E354" s="10">
        <f>IF(A354&lt;=$B$8*12,D354-$B$6-IFERROR(D353,$B$7),"")</f>
        <v/>
      </c>
      <c r="F354" s="10">
        <f>IF(A354&lt;=$B$8*12,D354*$B$9,"")</f>
        <v/>
      </c>
    </row>
    <row r="355">
      <c r="A355" s="9" t="n">
        <v>332</v>
      </c>
      <c r="B355" s="10">
        <f>IF(A355&lt;=$B$8*12,$B$6,"")</f>
        <v/>
      </c>
      <c r="C355" s="10">
        <f>IF(A355&lt;=$B$8*12,C354+B355,"")</f>
        <v/>
      </c>
      <c r="D355" s="10">
        <f>IF(A355&lt;=$B$8*12,(D354+B355)*(1+$B$9),"")</f>
        <v/>
      </c>
      <c r="E355" s="10">
        <f>IF(A355&lt;=$B$8*12,D355-$B$6-IFERROR(D354,$B$7),"")</f>
        <v/>
      </c>
      <c r="F355" s="10">
        <f>IF(A355&lt;=$B$8*12,D355*$B$9,"")</f>
        <v/>
      </c>
    </row>
    <row r="356">
      <c r="A356" s="9" t="n">
        <v>333</v>
      </c>
      <c r="B356" s="10">
        <f>IF(A356&lt;=$B$8*12,$B$6,"")</f>
        <v/>
      </c>
      <c r="C356" s="10">
        <f>IF(A356&lt;=$B$8*12,C355+B356,"")</f>
        <v/>
      </c>
      <c r="D356" s="10">
        <f>IF(A356&lt;=$B$8*12,(D355+B356)*(1+$B$9),"")</f>
        <v/>
      </c>
      <c r="E356" s="10">
        <f>IF(A356&lt;=$B$8*12,D356-$B$6-IFERROR(D355,$B$7),"")</f>
        <v/>
      </c>
      <c r="F356" s="10">
        <f>IF(A356&lt;=$B$8*12,D356*$B$9,"")</f>
        <v/>
      </c>
    </row>
    <row r="357">
      <c r="A357" s="9" t="n">
        <v>334</v>
      </c>
      <c r="B357" s="10">
        <f>IF(A357&lt;=$B$8*12,$B$6,"")</f>
        <v/>
      </c>
      <c r="C357" s="10">
        <f>IF(A357&lt;=$B$8*12,C356+B357,"")</f>
        <v/>
      </c>
      <c r="D357" s="10">
        <f>IF(A357&lt;=$B$8*12,(D356+B357)*(1+$B$9),"")</f>
        <v/>
      </c>
      <c r="E357" s="10">
        <f>IF(A357&lt;=$B$8*12,D357-$B$6-IFERROR(D356,$B$7),"")</f>
        <v/>
      </c>
      <c r="F357" s="10">
        <f>IF(A357&lt;=$B$8*12,D357*$B$9,"")</f>
        <v/>
      </c>
    </row>
    <row r="358">
      <c r="A358" s="9" t="n">
        <v>335</v>
      </c>
      <c r="B358" s="10">
        <f>IF(A358&lt;=$B$8*12,$B$6,"")</f>
        <v/>
      </c>
      <c r="C358" s="10">
        <f>IF(A358&lt;=$B$8*12,C357+B358,"")</f>
        <v/>
      </c>
      <c r="D358" s="10">
        <f>IF(A358&lt;=$B$8*12,(D357+B358)*(1+$B$9),"")</f>
        <v/>
      </c>
      <c r="E358" s="10">
        <f>IF(A358&lt;=$B$8*12,D358-$B$6-IFERROR(D357,$B$7),"")</f>
        <v/>
      </c>
      <c r="F358" s="10">
        <f>IF(A358&lt;=$B$8*12,D358*$B$9,"")</f>
        <v/>
      </c>
    </row>
    <row r="359">
      <c r="A359" s="9" t="n">
        <v>336</v>
      </c>
      <c r="B359" s="10">
        <f>IF(A359&lt;=$B$8*12,$B$6,"")</f>
        <v/>
      </c>
      <c r="C359" s="10">
        <f>IF(A359&lt;=$B$8*12,C358+B359,"")</f>
        <v/>
      </c>
      <c r="D359" s="10">
        <f>IF(A359&lt;=$B$8*12,(D358+B359)*(1+$B$9),"")</f>
        <v/>
      </c>
      <c r="E359" s="10">
        <f>IF(A359&lt;=$B$8*12,D359-$B$6-IFERROR(D358,$B$7),"")</f>
        <v/>
      </c>
      <c r="F359" s="10">
        <f>IF(A359&lt;=$B$8*12,D359*$B$9,"")</f>
        <v/>
      </c>
    </row>
    <row r="360">
      <c r="A360" s="9" t="n">
        <v>337</v>
      </c>
      <c r="B360" s="10">
        <f>IF(A360&lt;=$B$8*12,$B$6,"")</f>
        <v/>
      </c>
      <c r="C360" s="10">
        <f>IF(A360&lt;=$B$8*12,C359+B360,"")</f>
        <v/>
      </c>
      <c r="D360" s="10">
        <f>IF(A360&lt;=$B$8*12,(D359+B360)*(1+$B$9),"")</f>
        <v/>
      </c>
      <c r="E360" s="10">
        <f>IF(A360&lt;=$B$8*12,D360-$B$6-IFERROR(D359,$B$7),"")</f>
        <v/>
      </c>
      <c r="F360" s="10">
        <f>IF(A360&lt;=$B$8*12,D360*$B$9,"")</f>
        <v/>
      </c>
    </row>
    <row r="361">
      <c r="A361" s="9" t="n">
        <v>338</v>
      </c>
      <c r="B361" s="10">
        <f>IF(A361&lt;=$B$8*12,$B$6,"")</f>
        <v/>
      </c>
      <c r="C361" s="10">
        <f>IF(A361&lt;=$B$8*12,C360+B361,"")</f>
        <v/>
      </c>
      <c r="D361" s="10">
        <f>IF(A361&lt;=$B$8*12,(D360+B361)*(1+$B$9),"")</f>
        <v/>
      </c>
      <c r="E361" s="10">
        <f>IF(A361&lt;=$B$8*12,D361-$B$6-IFERROR(D360,$B$7),"")</f>
        <v/>
      </c>
      <c r="F361" s="10">
        <f>IF(A361&lt;=$B$8*12,D361*$B$9,"")</f>
        <v/>
      </c>
    </row>
    <row r="362">
      <c r="A362" s="9" t="n">
        <v>339</v>
      </c>
      <c r="B362" s="10">
        <f>IF(A362&lt;=$B$8*12,$B$6,"")</f>
        <v/>
      </c>
      <c r="C362" s="10">
        <f>IF(A362&lt;=$B$8*12,C361+B362,"")</f>
        <v/>
      </c>
      <c r="D362" s="10">
        <f>IF(A362&lt;=$B$8*12,(D361+B362)*(1+$B$9),"")</f>
        <v/>
      </c>
      <c r="E362" s="10">
        <f>IF(A362&lt;=$B$8*12,D362-$B$6-IFERROR(D361,$B$7),"")</f>
        <v/>
      </c>
      <c r="F362" s="10">
        <f>IF(A362&lt;=$B$8*12,D362*$B$9,"")</f>
        <v/>
      </c>
    </row>
    <row r="363">
      <c r="A363" s="9" t="n">
        <v>340</v>
      </c>
      <c r="B363" s="10">
        <f>IF(A363&lt;=$B$8*12,$B$6,"")</f>
        <v/>
      </c>
      <c r="C363" s="10">
        <f>IF(A363&lt;=$B$8*12,C362+B363,"")</f>
        <v/>
      </c>
      <c r="D363" s="10">
        <f>IF(A363&lt;=$B$8*12,(D362+B363)*(1+$B$9),"")</f>
        <v/>
      </c>
      <c r="E363" s="10">
        <f>IF(A363&lt;=$B$8*12,D363-$B$6-IFERROR(D362,$B$7),"")</f>
        <v/>
      </c>
      <c r="F363" s="10">
        <f>IF(A363&lt;=$B$8*12,D363*$B$9,"")</f>
        <v/>
      </c>
    </row>
    <row r="364">
      <c r="A364" s="9" t="n">
        <v>341</v>
      </c>
      <c r="B364" s="10">
        <f>IF(A364&lt;=$B$8*12,$B$6,"")</f>
        <v/>
      </c>
      <c r="C364" s="10">
        <f>IF(A364&lt;=$B$8*12,C363+B364,"")</f>
        <v/>
      </c>
      <c r="D364" s="10">
        <f>IF(A364&lt;=$B$8*12,(D363+B364)*(1+$B$9),"")</f>
        <v/>
      </c>
      <c r="E364" s="10">
        <f>IF(A364&lt;=$B$8*12,D364-$B$6-IFERROR(D363,$B$7),"")</f>
        <v/>
      </c>
      <c r="F364" s="10">
        <f>IF(A364&lt;=$B$8*12,D364*$B$9,"")</f>
        <v/>
      </c>
    </row>
    <row r="365">
      <c r="A365" s="9" t="n">
        <v>342</v>
      </c>
      <c r="B365" s="10">
        <f>IF(A365&lt;=$B$8*12,$B$6,"")</f>
        <v/>
      </c>
      <c r="C365" s="10">
        <f>IF(A365&lt;=$B$8*12,C364+B365,"")</f>
        <v/>
      </c>
      <c r="D365" s="10">
        <f>IF(A365&lt;=$B$8*12,(D364+B365)*(1+$B$9),"")</f>
        <v/>
      </c>
      <c r="E365" s="10">
        <f>IF(A365&lt;=$B$8*12,D365-$B$6-IFERROR(D364,$B$7),"")</f>
        <v/>
      </c>
      <c r="F365" s="10">
        <f>IF(A365&lt;=$B$8*12,D365*$B$9,"")</f>
        <v/>
      </c>
    </row>
    <row r="366">
      <c r="A366" s="9" t="n">
        <v>343</v>
      </c>
      <c r="B366" s="10">
        <f>IF(A366&lt;=$B$8*12,$B$6,"")</f>
        <v/>
      </c>
      <c r="C366" s="10">
        <f>IF(A366&lt;=$B$8*12,C365+B366,"")</f>
        <v/>
      </c>
      <c r="D366" s="10">
        <f>IF(A366&lt;=$B$8*12,(D365+B366)*(1+$B$9),"")</f>
        <v/>
      </c>
      <c r="E366" s="10">
        <f>IF(A366&lt;=$B$8*12,D366-$B$6-IFERROR(D365,$B$7),"")</f>
        <v/>
      </c>
      <c r="F366" s="10">
        <f>IF(A366&lt;=$B$8*12,D366*$B$9,"")</f>
        <v/>
      </c>
    </row>
    <row r="367">
      <c r="A367" s="9" t="n">
        <v>344</v>
      </c>
      <c r="B367" s="10">
        <f>IF(A367&lt;=$B$8*12,$B$6,"")</f>
        <v/>
      </c>
      <c r="C367" s="10">
        <f>IF(A367&lt;=$B$8*12,C366+B367,"")</f>
        <v/>
      </c>
      <c r="D367" s="10">
        <f>IF(A367&lt;=$B$8*12,(D366+B367)*(1+$B$9),"")</f>
        <v/>
      </c>
      <c r="E367" s="10">
        <f>IF(A367&lt;=$B$8*12,D367-$B$6-IFERROR(D366,$B$7),"")</f>
        <v/>
      </c>
      <c r="F367" s="10">
        <f>IF(A367&lt;=$B$8*12,D367*$B$9,"")</f>
        <v/>
      </c>
    </row>
    <row r="368">
      <c r="A368" s="9" t="n">
        <v>345</v>
      </c>
      <c r="B368" s="10">
        <f>IF(A368&lt;=$B$8*12,$B$6,"")</f>
        <v/>
      </c>
      <c r="C368" s="10">
        <f>IF(A368&lt;=$B$8*12,C367+B368,"")</f>
        <v/>
      </c>
      <c r="D368" s="10">
        <f>IF(A368&lt;=$B$8*12,(D367+B368)*(1+$B$9),"")</f>
        <v/>
      </c>
      <c r="E368" s="10">
        <f>IF(A368&lt;=$B$8*12,D368-$B$6-IFERROR(D367,$B$7),"")</f>
        <v/>
      </c>
      <c r="F368" s="10">
        <f>IF(A368&lt;=$B$8*12,D368*$B$9,"")</f>
        <v/>
      </c>
    </row>
    <row r="369">
      <c r="A369" s="9" t="n">
        <v>346</v>
      </c>
      <c r="B369" s="10">
        <f>IF(A369&lt;=$B$8*12,$B$6,"")</f>
        <v/>
      </c>
      <c r="C369" s="10">
        <f>IF(A369&lt;=$B$8*12,C368+B369,"")</f>
        <v/>
      </c>
      <c r="D369" s="10">
        <f>IF(A369&lt;=$B$8*12,(D368+B369)*(1+$B$9),"")</f>
        <v/>
      </c>
      <c r="E369" s="10">
        <f>IF(A369&lt;=$B$8*12,D369-$B$6-IFERROR(D368,$B$7),"")</f>
        <v/>
      </c>
      <c r="F369" s="10">
        <f>IF(A369&lt;=$B$8*12,D369*$B$9,"")</f>
        <v/>
      </c>
    </row>
    <row r="370">
      <c r="A370" s="9" t="n">
        <v>347</v>
      </c>
      <c r="B370" s="10">
        <f>IF(A370&lt;=$B$8*12,$B$6,"")</f>
        <v/>
      </c>
      <c r="C370" s="10">
        <f>IF(A370&lt;=$B$8*12,C369+B370,"")</f>
        <v/>
      </c>
      <c r="D370" s="10">
        <f>IF(A370&lt;=$B$8*12,(D369+B370)*(1+$B$9),"")</f>
        <v/>
      </c>
      <c r="E370" s="10">
        <f>IF(A370&lt;=$B$8*12,D370-$B$6-IFERROR(D369,$B$7),"")</f>
        <v/>
      </c>
      <c r="F370" s="10">
        <f>IF(A370&lt;=$B$8*12,D370*$B$9,"")</f>
        <v/>
      </c>
    </row>
    <row r="371">
      <c r="A371" s="9" t="n">
        <v>348</v>
      </c>
      <c r="B371" s="10">
        <f>IF(A371&lt;=$B$8*12,$B$6,"")</f>
        <v/>
      </c>
      <c r="C371" s="10">
        <f>IF(A371&lt;=$B$8*12,C370+B371,"")</f>
        <v/>
      </c>
      <c r="D371" s="10">
        <f>IF(A371&lt;=$B$8*12,(D370+B371)*(1+$B$9),"")</f>
        <v/>
      </c>
      <c r="E371" s="10">
        <f>IF(A371&lt;=$B$8*12,D371-$B$6-IFERROR(D370,$B$7),"")</f>
        <v/>
      </c>
      <c r="F371" s="10">
        <f>IF(A371&lt;=$B$8*12,D371*$B$9,"")</f>
        <v/>
      </c>
    </row>
    <row r="372">
      <c r="A372" s="9" t="n">
        <v>349</v>
      </c>
      <c r="B372" s="10">
        <f>IF(A372&lt;=$B$8*12,$B$6,"")</f>
        <v/>
      </c>
      <c r="C372" s="10">
        <f>IF(A372&lt;=$B$8*12,C371+B372,"")</f>
        <v/>
      </c>
      <c r="D372" s="10">
        <f>IF(A372&lt;=$B$8*12,(D371+B372)*(1+$B$9),"")</f>
        <v/>
      </c>
      <c r="E372" s="10">
        <f>IF(A372&lt;=$B$8*12,D372-$B$6-IFERROR(D371,$B$7),"")</f>
        <v/>
      </c>
      <c r="F372" s="10">
        <f>IF(A372&lt;=$B$8*12,D372*$B$9,"")</f>
        <v/>
      </c>
    </row>
    <row r="373">
      <c r="A373" s="9" t="n">
        <v>350</v>
      </c>
      <c r="B373" s="10">
        <f>IF(A373&lt;=$B$8*12,$B$6,"")</f>
        <v/>
      </c>
      <c r="C373" s="10">
        <f>IF(A373&lt;=$B$8*12,C372+B373,"")</f>
        <v/>
      </c>
      <c r="D373" s="10">
        <f>IF(A373&lt;=$B$8*12,(D372+B373)*(1+$B$9),"")</f>
        <v/>
      </c>
      <c r="E373" s="10">
        <f>IF(A373&lt;=$B$8*12,D373-$B$6-IFERROR(D372,$B$7),"")</f>
        <v/>
      </c>
      <c r="F373" s="10">
        <f>IF(A373&lt;=$B$8*12,D373*$B$9,"")</f>
        <v/>
      </c>
    </row>
    <row r="374">
      <c r="A374" s="9" t="n">
        <v>351</v>
      </c>
      <c r="B374" s="10">
        <f>IF(A374&lt;=$B$8*12,$B$6,"")</f>
        <v/>
      </c>
      <c r="C374" s="10">
        <f>IF(A374&lt;=$B$8*12,C373+B374,"")</f>
        <v/>
      </c>
      <c r="D374" s="10">
        <f>IF(A374&lt;=$B$8*12,(D373+B374)*(1+$B$9),"")</f>
        <v/>
      </c>
      <c r="E374" s="10">
        <f>IF(A374&lt;=$B$8*12,D374-$B$6-IFERROR(D373,$B$7),"")</f>
        <v/>
      </c>
      <c r="F374" s="10">
        <f>IF(A374&lt;=$B$8*12,D374*$B$9,"")</f>
        <v/>
      </c>
    </row>
    <row r="375">
      <c r="A375" s="9" t="n">
        <v>352</v>
      </c>
      <c r="B375" s="10">
        <f>IF(A375&lt;=$B$8*12,$B$6,"")</f>
        <v/>
      </c>
      <c r="C375" s="10">
        <f>IF(A375&lt;=$B$8*12,C374+B375,"")</f>
        <v/>
      </c>
      <c r="D375" s="10">
        <f>IF(A375&lt;=$B$8*12,(D374+B375)*(1+$B$9),"")</f>
        <v/>
      </c>
      <c r="E375" s="10">
        <f>IF(A375&lt;=$B$8*12,D375-$B$6-IFERROR(D374,$B$7),"")</f>
        <v/>
      </c>
      <c r="F375" s="10">
        <f>IF(A375&lt;=$B$8*12,D375*$B$9,"")</f>
        <v/>
      </c>
    </row>
    <row r="376">
      <c r="A376" s="9" t="n">
        <v>353</v>
      </c>
      <c r="B376" s="10">
        <f>IF(A376&lt;=$B$8*12,$B$6,"")</f>
        <v/>
      </c>
      <c r="C376" s="10">
        <f>IF(A376&lt;=$B$8*12,C375+B376,"")</f>
        <v/>
      </c>
      <c r="D376" s="10">
        <f>IF(A376&lt;=$B$8*12,(D375+B376)*(1+$B$9),"")</f>
        <v/>
      </c>
      <c r="E376" s="10">
        <f>IF(A376&lt;=$B$8*12,D376-$B$6-IFERROR(D375,$B$7),"")</f>
        <v/>
      </c>
      <c r="F376" s="10">
        <f>IF(A376&lt;=$B$8*12,D376*$B$9,"")</f>
        <v/>
      </c>
    </row>
    <row r="377">
      <c r="A377" s="9" t="n">
        <v>354</v>
      </c>
      <c r="B377" s="10">
        <f>IF(A377&lt;=$B$8*12,$B$6,"")</f>
        <v/>
      </c>
      <c r="C377" s="10">
        <f>IF(A377&lt;=$B$8*12,C376+B377,"")</f>
        <v/>
      </c>
      <c r="D377" s="10">
        <f>IF(A377&lt;=$B$8*12,(D376+B377)*(1+$B$9),"")</f>
        <v/>
      </c>
      <c r="E377" s="10">
        <f>IF(A377&lt;=$B$8*12,D377-$B$6-IFERROR(D376,$B$7),"")</f>
        <v/>
      </c>
      <c r="F377" s="10">
        <f>IF(A377&lt;=$B$8*12,D377*$B$9,"")</f>
        <v/>
      </c>
    </row>
    <row r="378">
      <c r="A378" s="9" t="n">
        <v>355</v>
      </c>
      <c r="B378" s="10">
        <f>IF(A378&lt;=$B$8*12,$B$6,"")</f>
        <v/>
      </c>
      <c r="C378" s="10">
        <f>IF(A378&lt;=$B$8*12,C377+B378,"")</f>
        <v/>
      </c>
      <c r="D378" s="10">
        <f>IF(A378&lt;=$B$8*12,(D377+B378)*(1+$B$9),"")</f>
        <v/>
      </c>
      <c r="E378" s="10">
        <f>IF(A378&lt;=$B$8*12,D378-$B$6-IFERROR(D377,$B$7),"")</f>
        <v/>
      </c>
      <c r="F378" s="10">
        <f>IF(A378&lt;=$B$8*12,D378*$B$9,"")</f>
        <v/>
      </c>
    </row>
    <row r="379">
      <c r="A379" s="9" t="n">
        <v>356</v>
      </c>
      <c r="B379" s="10">
        <f>IF(A379&lt;=$B$8*12,$B$6,"")</f>
        <v/>
      </c>
      <c r="C379" s="10">
        <f>IF(A379&lt;=$B$8*12,C378+B379,"")</f>
        <v/>
      </c>
      <c r="D379" s="10">
        <f>IF(A379&lt;=$B$8*12,(D378+B379)*(1+$B$9),"")</f>
        <v/>
      </c>
      <c r="E379" s="10">
        <f>IF(A379&lt;=$B$8*12,D379-$B$6-IFERROR(D378,$B$7),"")</f>
        <v/>
      </c>
      <c r="F379" s="10">
        <f>IF(A379&lt;=$B$8*12,D379*$B$9,"")</f>
        <v/>
      </c>
    </row>
    <row r="380">
      <c r="A380" s="9" t="n">
        <v>357</v>
      </c>
      <c r="B380" s="10">
        <f>IF(A380&lt;=$B$8*12,$B$6,"")</f>
        <v/>
      </c>
      <c r="C380" s="10">
        <f>IF(A380&lt;=$B$8*12,C379+B380,"")</f>
        <v/>
      </c>
      <c r="D380" s="10">
        <f>IF(A380&lt;=$B$8*12,(D379+B380)*(1+$B$9),"")</f>
        <v/>
      </c>
      <c r="E380" s="10">
        <f>IF(A380&lt;=$B$8*12,D380-$B$6-IFERROR(D379,$B$7),"")</f>
        <v/>
      </c>
      <c r="F380" s="10">
        <f>IF(A380&lt;=$B$8*12,D380*$B$9,"")</f>
        <v/>
      </c>
    </row>
    <row r="381">
      <c r="A381" s="9" t="n">
        <v>358</v>
      </c>
      <c r="B381" s="10">
        <f>IF(A381&lt;=$B$8*12,$B$6,"")</f>
        <v/>
      </c>
      <c r="C381" s="10">
        <f>IF(A381&lt;=$B$8*12,C380+B381,"")</f>
        <v/>
      </c>
      <c r="D381" s="10">
        <f>IF(A381&lt;=$B$8*12,(D380+B381)*(1+$B$9),"")</f>
        <v/>
      </c>
      <c r="E381" s="10">
        <f>IF(A381&lt;=$B$8*12,D381-$B$6-IFERROR(D380,$B$7),"")</f>
        <v/>
      </c>
      <c r="F381" s="10">
        <f>IF(A381&lt;=$B$8*12,D381*$B$9,"")</f>
        <v/>
      </c>
    </row>
    <row r="382">
      <c r="A382" s="9" t="n">
        <v>359</v>
      </c>
      <c r="B382" s="10">
        <f>IF(A382&lt;=$B$8*12,$B$6,"")</f>
        <v/>
      </c>
      <c r="C382" s="10">
        <f>IF(A382&lt;=$B$8*12,C381+B382,"")</f>
        <v/>
      </c>
      <c r="D382" s="10">
        <f>IF(A382&lt;=$B$8*12,(D381+B382)*(1+$B$9),"")</f>
        <v/>
      </c>
      <c r="E382" s="10">
        <f>IF(A382&lt;=$B$8*12,D382-$B$6-IFERROR(D381,$B$7),"")</f>
        <v/>
      </c>
      <c r="F382" s="10">
        <f>IF(A382&lt;=$B$8*12,D382*$B$9,"")</f>
        <v/>
      </c>
    </row>
    <row r="383">
      <c r="A383" s="9" t="n">
        <v>360</v>
      </c>
      <c r="B383" s="10">
        <f>IF(A383&lt;=$B$8*12,$B$6,"")</f>
        <v/>
      </c>
      <c r="C383" s="10">
        <f>IF(A383&lt;=$B$8*12,C382+B383,"")</f>
        <v/>
      </c>
      <c r="D383" s="10">
        <f>IF(A383&lt;=$B$8*12,(D382+B383)*(1+$B$9),"")</f>
        <v/>
      </c>
      <c r="E383" s="10">
        <f>IF(A383&lt;=$B$8*12,D383-$B$6-IFERROR(D382,$B$7),"")</f>
        <v/>
      </c>
      <c r="F383" s="10">
        <f>IF(A383&lt;=$B$8*12,D383*$B$9,"")</f>
        <v/>
      </c>
    </row>
  </sheetData>
  <mergeCells count="6">
    <mergeCell ref="A12:D12"/>
    <mergeCell ref="A22:F22"/>
    <mergeCell ref="F12:H12"/>
    <mergeCell ref="A1:H1"/>
    <mergeCell ref="D3:E3"/>
    <mergeCell ref="A3:B3"/>
  </mergeCells>
  <dataValidations count="1">
    <dataValidation sqref="B10" showDropDown="0" showInputMessage="0" showErrorMessage="0" allowBlank="0" type="list">
      <formula1>"Conservador,Moderado,Agressivo"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2" t="inlineStr">
        <is>
          <t>PERFIL DO INVESTIDOR</t>
        </is>
      </c>
    </row>
    <row r="2"/>
    <row r="3">
      <c r="A3" s="2" t="inlineStr">
        <is>
          <t>Tipo de FII</t>
        </is>
      </c>
      <c r="B3" s="2" t="inlineStr">
        <is>
          <t>Conservador</t>
        </is>
      </c>
      <c r="C3" s="2" t="inlineStr">
        <is>
          <t>Moderado</t>
        </is>
      </c>
      <c r="D3" s="2" t="inlineStr">
        <is>
          <t>Agressivo</t>
        </is>
      </c>
    </row>
    <row r="4">
      <c r="A4" s="9" t="inlineStr">
        <is>
          <t>Papel</t>
        </is>
      </c>
      <c r="B4" s="11" t="n">
        <v>0.35</v>
      </c>
      <c r="C4" s="11" t="n">
        <v>0.3</v>
      </c>
      <c r="D4" s="11" t="n">
        <v>0.2</v>
      </c>
    </row>
    <row r="5">
      <c r="A5" s="9" t="inlineStr">
        <is>
          <t>Tijolo</t>
        </is>
      </c>
      <c r="B5" s="11" t="n">
        <v>0.35</v>
      </c>
      <c r="C5" s="11" t="n">
        <v>0.3</v>
      </c>
      <c r="D5" s="11" t="n">
        <v>0.25</v>
      </c>
    </row>
    <row r="6">
      <c r="A6" s="9" t="inlineStr">
        <is>
          <t>Híbridos</t>
        </is>
      </c>
      <c r="B6" s="11" t="n">
        <v>0.15</v>
      </c>
      <c r="C6" s="11" t="n">
        <v>0.15</v>
      </c>
      <c r="D6" s="11" t="n">
        <v>0.15</v>
      </c>
    </row>
    <row r="7">
      <c r="A7" s="9" t="inlineStr">
        <is>
          <t>FOFs</t>
        </is>
      </c>
      <c r="B7" s="11" t="n">
        <v>0.1</v>
      </c>
      <c r="C7" s="11" t="n">
        <v>0.1</v>
      </c>
      <c r="D7" s="11" t="n">
        <v>0.1</v>
      </c>
    </row>
    <row r="8">
      <c r="A8" s="9" t="inlineStr">
        <is>
          <t>Desenvolvimento</t>
        </is>
      </c>
      <c r="B8" s="11" t="n">
        <v>0.03</v>
      </c>
      <c r="C8" s="11" t="n">
        <v>0.08</v>
      </c>
      <c r="D8" s="11" t="n">
        <v>0.15</v>
      </c>
    </row>
    <row r="9">
      <c r="A9" s="9" t="inlineStr">
        <is>
          <t>Hotelarias</t>
        </is>
      </c>
      <c r="B9" s="11" t="n">
        <v>0.02</v>
      </c>
      <c r="C9" s="11" t="n">
        <v>0.07000000000000001</v>
      </c>
      <c r="D9" s="11" t="n">
        <v>0.15</v>
      </c>
    </row>
    <row r="10">
      <c r="B10" s="13" t="n"/>
      <c r="C10" s="13" t="n"/>
      <c r="D10" s="13" t="n"/>
    </row>
    <row r="11">
      <c r="A11" s="14" t="inlineStr">
        <is>
          <t>TOTAL</t>
        </is>
      </c>
      <c r="B11" s="15">
        <f>SUM(B4:B9)</f>
        <v/>
      </c>
      <c r="C11" s="15">
        <f>SUM(C4:C9)</f>
        <v/>
      </c>
      <c r="D11" s="15">
        <f>SUM(D4:D9)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2026-09-09T00:05:15Z</dcterms:created>
  <dcterms:modified xmlns:dcterms="http://purl.org/dc/terms/" xmlns:xsi="http://www.w3.org/2001/XMLSchema-instance" xsi:type="dcterms:W3CDTF">2026-09-09T00:05:15Z</dcterms:modified>
</cp:coreProperties>
</file>